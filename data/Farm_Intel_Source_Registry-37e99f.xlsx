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ource Registry" sheetId="2" state="visible" r:id="rId4"/>
    <sheet name="MVP Sources" sheetId="3" state="visible" r:id="rId5"/>
    <sheet name="Driver Coverage" sheetId="4" state="visible" r:id="rId6"/>
    <sheet name="Root Check" sheetId="5" state="visible" r:id="rId7"/>
    <sheet name="Policy Map" sheetId="6" state="visible" r:id="rId8"/>
    <sheet name="Policy Alert Rules" sheetId="7" state="visible" r:id="rId9"/>
    <sheet name="Coverage Checklist" sheetId="8" state="visible" r:id="rId10"/>
    <sheet name="Lens to Sources" sheetId="9" state="visible" r:id="rId11"/>
    <sheet name="Trigger Map" sheetId="10" state="visible" r:id="rId12"/>
    <sheet name="Commodity Nodes" sheetId="11" state="visible" r:id="rId13"/>
  </sheets>
  <definedNames>
    <definedName function="false" hidden="true" localSheetId="7" name="_xlnm._FilterDatabase" vbProcedure="false">'Coverage Checklist'!$A$7:$F$73</definedName>
    <definedName function="false" hidden="true" localSheetId="1" name="_xlnm._FilterDatabase" vbProcedure="false">'Source Registry'!$A$1:$AB$189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<sst xmlns="http://schemas.openxmlformats.org/spreadsheetml/2006/main" count="5476" uniqueCount="1808">
  <si>
    <t xml:space="preserve">Farm Intelligence Source Registry</t>
  </si>
  <si>
    <t xml:space="preserve">What this is</t>
  </si>
  <si>
    <t xml:space="preserve">A working list of trusted sources for supply, demand, price, trade and driver signals that affect farms, tagged by commodity group, driver, horizon, and trust tier.</t>
  </si>
  <si>
    <t xml:space="preserve">Tabs</t>
  </si>
  <si>
    <t xml:space="preserve">Source Registry (the list) | Driver Coverage (live counts, including independence) | Root Check (test whether sources are really independent) | MVP Sources (the first 15 sources, by build wave) | Trigger Map (trigger families and the sources that detect them) | Lens to Sources (how the strategic lens selects sources) | Policy Map (policy levers and coverage by commodity) | Policy Alert Rules (when a policy item becomes an alert) | Coverage Checklist (what the registry should cover, and where gaps remain) | Commodity Nodes (upstream, co-products, downstream)</t>
  </si>
  <si>
    <t xml:space="preserve">What to edit</t>
  </si>
  <si>
    <t xml:space="preserve">Yellow cells in the Pipeline status column (and the source ID cells on Root Check). Update status as sources move from scoped to connected to live. Add new rows at the bottom of the registry; the coverage tab recalculates.</t>
  </si>
  <si>
    <t xml:space="preserve">Authority tier 1</t>
  </si>
  <si>
    <t xml:space="preserve">Official statistic: government or intergovernmental data. Authoritative, but lags.</t>
  </si>
  <si>
    <t xml:space="preserve">Authority tier 2</t>
  </si>
  <si>
    <t xml:space="preserve">Market price, exchange, or trade-body data and structured analyst baselines. Timely, with method caveats.</t>
  </si>
  <si>
    <t xml:space="preserve">Authority tier 3</t>
  </si>
  <si>
    <t xml:space="preserve">Analyst or advocacy interpretation. Useful for context; label as opinion.</t>
  </si>
  <si>
    <t xml:space="preserve">Retrieval tier</t>
  </si>
  <si>
    <t xml:space="preserve">0 = synthesized house sources (driver briefs, Future State material, diversification library); 1 = curated secondary sources (outlooks, analysis, advocacy, news); 2 = primary data. Agents look in this order and use tier 2 only to fetch a current value, fill a gap, or verify. This is separate from authority tier.</t>
  </si>
  <si>
    <t xml:space="preserve">System role</t>
  </si>
  <si>
    <t xml:space="preserve">Detection feed = watched to detect triggers. Context = used to explain and frame. Context (synthesized) = retrieval tier 0. Fetch and verify = pulled on demand. Lens prefill = proposes strategic lens fields for the farmer to confirm.</t>
  </si>
  <si>
    <t xml:space="preserve">Trigger family</t>
  </si>
  <si>
    <t xml:space="preserve">The kind of dynamic change a source helps detect or explain. Policy and regulation is its own family. The Trigger Map tab counts sources by family.</t>
  </si>
  <si>
    <t xml:space="preserve">Lens selector and MFP dimension</t>
  </si>
  <si>
    <t xml:space="preserve">Which part of the farm's strategic lens decides whether a source is on that farm's watch list, and which MFP dimension the source helps. The Lens to Sources tab explains the logic.</t>
  </si>
  <si>
    <t xml:space="preserve">Cache life</t>
  </si>
  <si>
    <t xml:space="preserve">How long a fetched value may be reused before it is fetched again.</t>
  </si>
  <si>
    <t xml:space="preserve">MVP wave</t>
  </si>
  <si>
    <t xml:space="preserve">The 15 sources recommended for the first build, in three waves (yellow, editable). The MVP Sources tab lists them with access watch-outs.</t>
  </si>
  <si>
    <t xml:space="preserve">Drivers</t>
  </si>
  <si>
    <t xml:space="preserve">Global Affluence, Geopolitics, Human Health, Climate Volatility, Technology, Ownership. These six are the slower, larger forces that set the long-term backdrop. Policy and regulation is not a driver; it is a trigger family, because it changes quickly. Sources that serve several drivers, including most policy sources, are tagged Cross-driver. Core S&amp;D (baseline) marks the supply and demand data every update builds on.</t>
  </si>
  <si>
    <t xml:space="preserve">Horizon</t>
  </si>
  <si>
    <t xml:space="preserve">Near-term = next 1 to 2 growing seasons. Long-term = 3 to 10 years. Both = used for each.</t>
  </si>
  <si>
    <t xml:space="preserve">Origin</t>
  </si>
  <si>
    <t xml:space="preserve">Original measurement = collects or issues the data itself. Market-generated = prices from trades, auctions or reported transactions. Derived = built from another source. Mixed = official data plus its own research or models. Opinion = interpretation or advocacy.</t>
  </si>
  <si>
    <t xml:space="preserve">Root ID</t>
  </si>
  <si>
    <t xml:space="preserve">The original source an item ultimately rests on. Sources that share a root count as one signal, not several.</t>
  </si>
  <si>
    <t xml:space="preserve">Independent signal</t>
  </si>
  <si>
    <t xml:space="preserve">Yes = adds information no other registered source has. Partial = partly its own, partly built on others. No = repackages or interprets another source.</t>
  </si>
  <si>
    <t xml:space="preserve">What it adds</t>
  </si>
  <si>
    <t xml:space="preserve">New data, Timing (arrives earlier), Forecast, Interpretation, or Repackaging (same numbers, different view).</t>
  </si>
  <si>
    <t xml:space="preserve">Example row</t>
  </si>
  <si>
    <t xml:space="preserve">Row S017 (AMS Dairy Market News) shows the expected format: whey and derived dairy prices, weekly, tier 2, free API.</t>
  </si>
  <si>
    <t xml:space="preserve">Caveats</t>
  </si>
  <si>
    <t xml:space="preserve">URLs are entry-point pages listed from general knowledge and were not link-checked in this build. Confirm each URL, release schedule, and API terms before automating. Source types, cadences, and access terms change.</t>
  </si>
  <si>
    <t xml:space="preserve">Registry rows:</t>
  </si>
  <si>
    <t xml:space="preserve">ID</t>
  </si>
  <si>
    <t xml:space="preserve">Source</t>
  </si>
  <si>
    <t xml:space="preserve">Publisher</t>
  </si>
  <si>
    <t xml:space="preserve">Commodity group</t>
  </si>
  <si>
    <t xml:space="preserve">Layer</t>
  </si>
  <si>
    <t xml:space="preserve">Primary driver</t>
  </si>
  <si>
    <t xml:space="preserve">Source type</t>
  </si>
  <si>
    <t xml:space="preserve">Authority tier</t>
  </si>
  <si>
    <t xml:space="preserve">Update cadence</t>
  </si>
  <si>
    <t xml:space="preserve">Access</t>
  </si>
  <si>
    <t xml:space="preserve">URL</t>
  </si>
  <si>
    <t xml:space="preserve">What it answers</t>
  </si>
  <si>
    <t xml:space="preserve">Notes</t>
  </si>
  <si>
    <t xml:space="preserve">Depends on</t>
  </si>
  <si>
    <t xml:space="preserve">Pipeline status</t>
  </si>
  <si>
    <t xml:space="preserve">Lens selector</t>
  </si>
  <si>
    <t xml:space="preserve">MFP dimension served</t>
  </si>
  <si>
    <t xml:space="preserve">MVP watch-out</t>
  </si>
  <si>
    <t xml:space="preserve">S001</t>
  </si>
  <si>
    <t xml:space="preserve">WASDE</t>
  </si>
  <si>
    <t xml:space="preserve">USDA OCE / WAOB</t>
  </si>
  <si>
    <t xml:space="preserve">Cross-commodity</t>
  </si>
  <si>
    <t xml:space="preserve">Balance sheet</t>
  </si>
  <si>
    <t xml:space="preserve">Core S&amp;D (baseline)</t>
  </si>
  <si>
    <t xml:space="preserve">Near-term (1-2 seasons)</t>
  </si>
  <si>
    <t xml:space="preserve">Official statistic</t>
  </si>
  <si>
    <t xml:space="preserve">Monthly</t>
  </si>
  <si>
    <t xml:space="preserve">Free download</t>
  </si>
  <si>
    <t xml:space="preserve">https://www.usda.gov/oce/commodity/wasde</t>
  </si>
  <si>
    <t xml:space="preserve">US and world supply, use, ending stocks and price forecasts for grains, oilseeds, livestock, dairy, sugar, cotton</t>
  </si>
  <si>
    <t xml:space="preserve">The monthly benchmark; release dates are published a year ahead</t>
  </si>
  <si>
    <t xml:space="preserve">Mixed</t>
  </si>
  <si>
    <t xml:space="preserve">S003, S025, S026, S027</t>
  </si>
  <si>
    <t xml:space="preserve">Partial</t>
  </si>
  <si>
    <t xml:space="preserve">Forecast</t>
  </si>
  <si>
    <t xml:space="preserve">Not started</t>
  </si>
  <si>
    <t xml:space="preserve">Context only</t>
  </si>
  <si>
    <t xml:space="preserve">Fetch and verify</t>
  </si>
  <si>
    <t xml:space="preserve">All farms (context)</t>
  </si>
  <si>
    <t xml:space="preserve">Strategic Vision; Market Analysis</t>
  </si>
  <si>
    <t xml:space="preserve">Days to weeks</t>
  </si>
  <si>
    <t xml:space="preserve">S002</t>
  </si>
  <si>
    <t xml:space="preserve">PSD Online</t>
  </si>
  <si>
    <t xml:space="preserve">USDA FAS</t>
  </si>
  <si>
    <t xml:space="preserve">Both</t>
  </si>
  <si>
    <t xml:space="preserve">Free API / download</t>
  </si>
  <si>
    <t xml:space="preserve">https://apps.fas.usda.gov/psdonline/</t>
  </si>
  <si>
    <t xml:space="preserve">Production, supply and distribution by country (about 200 countries) for major commodities</t>
  </si>
  <si>
    <t xml:space="preserve">Global view behind WASDE</t>
  </si>
  <si>
    <t xml:space="preserve">S003, S025, S027</t>
  </si>
  <si>
    <t xml:space="preserve">No</t>
  </si>
  <si>
    <t xml:space="preserve">Repackaging</t>
  </si>
  <si>
    <t xml:space="preserve">S003</t>
  </si>
  <si>
    <t xml:space="preserve">NASS Quick Stats</t>
  </si>
  <si>
    <t xml:space="preserve">USDA NASS</t>
  </si>
  <si>
    <t xml:space="preserve">Varies by series</t>
  </si>
  <si>
    <t xml:space="preserve">Free API</t>
  </si>
  <si>
    <t xml:space="preserve">https://quickstats.nass.usda.gov/</t>
  </si>
  <si>
    <t xml:space="preserve">Production, area, inventories, prices received, by state and county</t>
  </si>
  <si>
    <t xml:space="preserve">Best structured API for US farm statistics</t>
  </si>
  <si>
    <t xml:space="preserve">Original measurement</t>
  </si>
  <si>
    <t xml:space="preserve">Yes</t>
  </si>
  <si>
    <t xml:space="preserve">New data</t>
  </si>
  <si>
    <t xml:space="preserve">S004</t>
  </si>
  <si>
    <t xml:space="preserve">NASS Crop Progress and Grain Stocks</t>
  </si>
  <si>
    <t xml:space="preserve">Grains &amp; oilseeds</t>
  </si>
  <si>
    <t xml:space="preserve">Weekly (season) / quarterly</t>
  </si>
  <si>
    <t xml:space="preserve">https://www.nass.usda.gov/Publications/</t>
  </si>
  <si>
    <t xml:space="preserve">Planting and condition ratings, on-farm and off-farm grain stocks</t>
  </si>
  <si>
    <t xml:space="preserve">Crop condition is an early yield signal</t>
  </si>
  <si>
    <t xml:space="preserve">S005</t>
  </si>
  <si>
    <t xml:space="preserve">NASS Cattle, Cattle on Feed, Hogs and Pigs</t>
  </si>
  <si>
    <t xml:space="preserve">Livestock &amp; poultry</t>
  </si>
  <si>
    <t xml:space="preserve">Monthly / quarterly / semiannual</t>
  </si>
  <si>
    <t xml:space="preserve">Herd and inventory size, placements, marketings</t>
  </si>
  <si>
    <t xml:space="preserve">Herd size drives multi-year supply</t>
  </si>
  <si>
    <t xml:space="preserve">S006</t>
  </si>
  <si>
    <t xml:space="preserve">NASS Milk Production and Dairy Products</t>
  </si>
  <si>
    <t xml:space="preserve">Dairy</t>
  </si>
  <si>
    <t xml:space="preserve">Milk output, cow numbers, cheese, butter, whey and dry product production</t>
  </si>
  <si>
    <t xml:space="preserve">Whey output follows cheese output</t>
  </si>
  <si>
    <t xml:space="preserve">S007</t>
  </si>
  <si>
    <t xml:space="preserve">ERS Dairy and Livestock Outlooks</t>
  </si>
  <si>
    <t xml:space="preserve">USDA ERS</t>
  </si>
  <si>
    <t xml:space="preserve">https://www.ers.usda.gov/topics/animal-products/dairy/</t>
  </si>
  <si>
    <t xml:space="preserve">Dairy, livestock, poultry outlook narrative and data tables</t>
  </si>
  <si>
    <t xml:space="preserve">Good plain-English context for WASDE numbers</t>
  </si>
  <si>
    <t xml:space="preserve">Derived</t>
  </si>
  <si>
    <t xml:space="preserve">S001, S006, S017, S005</t>
  </si>
  <si>
    <t xml:space="preserve">Interpretation</t>
  </si>
  <si>
    <t xml:space="preserve">Context</t>
  </si>
  <si>
    <t xml:space="preserve">S008</t>
  </si>
  <si>
    <t xml:space="preserve">ERS Crop Outlooks (feed, wheat, oil crops)</t>
  </si>
  <si>
    <t xml:space="preserve">https://www.ers.usda.gov/topics/crops/</t>
  </si>
  <si>
    <t xml:space="preserve">Commodity-level outlook, use breakdown, trade</t>
  </si>
  <si>
    <t xml:space="preserve">Check the topic page for the current report list</t>
  </si>
  <si>
    <t xml:space="preserve">S001, S003, S026</t>
  </si>
  <si>
    <t xml:space="preserve">S009</t>
  </si>
  <si>
    <t xml:space="preserve">ERS Fruit, Tree Nut and Vegetable Outlooks</t>
  </si>
  <si>
    <t xml:space="preserve">Specialty crops</t>
  </si>
  <si>
    <t xml:space="preserve">Periodic</t>
  </si>
  <si>
    <t xml:space="preserve">Production, imports, per-capita use for specialty crops</t>
  </si>
  <si>
    <t xml:space="preserve">Fewer formal balance sheets than field crops</t>
  </si>
  <si>
    <t xml:space="preserve">S003, S020, S028</t>
  </si>
  <si>
    <t xml:space="preserve">S010</t>
  </si>
  <si>
    <t xml:space="preserve">ERS Food Price Outlook</t>
  </si>
  <si>
    <t xml:space="preserve">Demand signal</t>
  </si>
  <si>
    <t xml:space="preserve">Human Health</t>
  </si>
  <si>
    <t xml:space="preserve">https://www.ers.usda.gov/data-products/food-price-outlook/</t>
  </si>
  <si>
    <t xml:space="preserve">Retail food price forecasts by category</t>
  </si>
  <si>
    <t xml:space="preserve">Consumer-side price pressure</t>
  </si>
  <si>
    <t xml:space="preserve">S139</t>
  </si>
  <si>
    <t xml:space="preserve">S011</t>
  </si>
  <si>
    <t xml:space="preserve">ERS Food Availability (per capita)</t>
  </si>
  <si>
    <t xml:space="preserve">Long-term (3-10 yrs)</t>
  </si>
  <si>
    <t xml:space="preserve">Annual</t>
  </si>
  <si>
    <t xml:space="preserve">https://www.ers.usda.gov/data-products/food-availability-per-capita-data-system/</t>
  </si>
  <si>
    <t xml:space="preserve">Long-run US food consumption by commodity</t>
  </si>
  <si>
    <t xml:space="preserve">Shows protein, dairy and sweetener demand shifts</t>
  </si>
  <si>
    <t xml:space="preserve">S003, S028</t>
  </si>
  <si>
    <t xml:space="preserve">S012</t>
  </si>
  <si>
    <t xml:space="preserve">ERS Farm Income Forecast</t>
  </si>
  <si>
    <t xml:space="preserve">Farm economy</t>
  </si>
  <si>
    <t xml:space="preserve">Economy</t>
  </si>
  <si>
    <t xml:space="preserve">Quarterly</t>
  </si>
  <si>
    <t xml:space="preserve">https://www.ers.usda.gov/data-products/farm-income-and-wealth-statistics/</t>
  </si>
  <si>
    <t xml:space="preserve">Net farm income, expenses, debt, government payments</t>
  </si>
  <si>
    <t xml:space="preserve">Farm financial health baseline</t>
  </si>
  <si>
    <t xml:space="preserve">S003, S001</t>
  </si>
  <si>
    <t xml:space="preserve">Credit and finance</t>
  </si>
  <si>
    <t xml:space="preserve">Debt and financial health</t>
  </si>
  <si>
    <t xml:space="preserve">Financial Analysis; Risk &amp; Protection</t>
  </si>
  <si>
    <t xml:space="preserve">S013</t>
  </si>
  <si>
    <t xml:space="preserve">ERS International Macroeconomic Data Set</t>
  </si>
  <si>
    <t xml:space="preserve">Global Affluence</t>
  </si>
  <si>
    <t xml:space="preserve">https://www.ers.usda.gov/data-products/international-macroeconomic-data-set/</t>
  </si>
  <si>
    <t xml:space="preserve">GDP, income and population projections by country</t>
  </si>
  <si>
    <t xml:space="preserve">Feeds import-demand projections</t>
  </si>
  <si>
    <t xml:space="preserve">S052, S053</t>
  </si>
  <si>
    <t xml:space="preserve">S052</t>
  </si>
  <si>
    <t xml:space="preserve">S014</t>
  </si>
  <si>
    <t xml:space="preserve">Census of Agriculture</t>
  </si>
  <si>
    <t xml:space="preserve">Ownership</t>
  </si>
  <si>
    <t xml:space="preserve">Structure</t>
  </si>
  <si>
    <t xml:space="preserve">Every 5 years</t>
  </si>
  <si>
    <t xml:space="preserve">https://www.nass.usda.gov/AgCensus/</t>
  </si>
  <si>
    <t xml:space="preserve">Farm numbers, size, operator age, ownership and tenure</t>
  </si>
  <si>
    <t xml:space="preserve">Core data for consolidation and succession trends</t>
  </si>
  <si>
    <t xml:space="preserve">Land and ownership</t>
  </si>
  <si>
    <t xml:space="preserve">Land tenure and legacy intent</t>
  </si>
  <si>
    <t xml:space="preserve">Succession; Financial Analysis</t>
  </si>
  <si>
    <t xml:space="preserve">Weeks to months</t>
  </si>
  <si>
    <t xml:space="preserve">S015</t>
  </si>
  <si>
    <t xml:space="preserve">NASS Land Values</t>
  </si>
  <si>
    <t xml:space="preserve">Cropland and pasture values and cash rents by state</t>
  </si>
  <si>
    <t xml:space="preserve">Asset-side view of farm balance sheets</t>
  </si>
  <si>
    <t xml:space="preserve">S016</t>
  </si>
  <si>
    <t xml:space="preserve">AFIDA reports</t>
  </si>
  <si>
    <t xml:space="preserve">USDA FSA</t>
  </si>
  <si>
    <t xml:space="preserve">https://www.fsa.usda.gov/</t>
  </si>
  <si>
    <t xml:space="preserve">Foreign holdings of US agricultural land</t>
  </si>
  <si>
    <t xml:space="preserve">Verify current report location before automating</t>
  </si>
  <si>
    <t xml:space="preserve">S017</t>
  </si>
  <si>
    <t xml:space="preserve">AMS Dairy Market News</t>
  </si>
  <si>
    <t xml:space="preserve">USDA AMS</t>
  </si>
  <si>
    <t xml:space="preserve">Price &amp; market</t>
  </si>
  <si>
    <t xml:space="preserve">Market price / trade data</t>
  </si>
  <si>
    <t xml:space="preserve">Weekly / daily</t>
  </si>
  <si>
    <t xml:space="preserve">Free API (MARS) / web</t>
  </si>
  <si>
    <t xml:space="preserve">https://www.ams.usda.gov/market-news/dairy-market-news</t>
  </si>
  <si>
    <t xml:space="preserve">Prices and volumes for dry whey, WPC34/80, WPI, lactose, NDM, butter, cheese; cold storage</t>
  </si>
  <si>
    <t xml:space="preserve">Primary source for whey and derived dairy products</t>
  </si>
  <si>
    <t xml:space="preserve">Market-generated</t>
  </si>
  <si>
    <t xml:space="preserve">Timing</t>
  </si>
  <si>
    <t xml:space="preserve">Price and market</t>
  </si>
  <si>
    <t xml:space="preserve">Detection feed</t>
  </si>
  <si>
    <t xml:space="preserve">Enterprises and income shares</t>
  </si>
  <si>
    <t xml:space="preserve">Market Analysis</t>
  </si>
  <si>
    <t xml:space="preserve">Minutes to hours</t>
  </si>
  <si>
    <t xml:space="preserve">Wave 1</t>
  </si>
  <si>
    <t xml:space="preserve">S018</t>
  </si>
  <si>
    <t xml:space="preserve">AMS Livestock, Poultry and Grain Market News</t>
  </si>
  <si>
    <t xml:space="preserve">Daily / weekly</t>
  </si>
  <si>
    <t xml:space="preserve">https://www.ams.usda.gov/market-news</t>
  </si>
  <si>
    <t xml:space="preserve">Cash prices, boxed beef cutout, slaughter, grain bids</t>
  </si>
  <si>
    <t xml:space="preserve">Includes livestock mandatory reporting</t>
  </si>
  <si>
    <t xml:space="preserve">S019</t>
  </si>
  <si>
    <t xml:space="preserve">AMS Egg Markets Overview</t>
  </si>
  <si>
    <t xml:space="preserve">Weekly</t>
  </si>
  <si>
    <t xml:space="preserve">Free web</t>
  </si>
  <si>
    <t xml:space="preserve">Egg prices, flock and supply conditions</t>
  </si>
  <si>
    <t xml:space="preserve">Pairs with HPAI status from APHIS</t>
  </si>
  <si>
    <t xml:space="preserve">S020</t>
  </si>
  <si>
    <t xml:space="preserve">AMS Specialty Crops Market News</t>
  </si>
  <si>
    <t xml:space="preserve">Daily</t>
  </si>
  <si>
    <t xml:space="preserve">Terminal and shipping-point prices, volumes, origin</t>
  </si>
  <si>
    <t xml:space="preserve">Main price source for fruit and vegetables</t>
  </si>
  <si>
    <t xml:space="preserve">S021</t>
  </si>
  <si>
    <t xml:space="preserve">AMS fertilizer and production cost reports</t>
  </si>
  <si>
    <t xml:space="preserve">Inputs</t>
  </si>
  <si>
    <t xml:space="preserve">Bi-weekly / weekly</t>
  </si>
  <si>
    <t xml:space="preserve">Retail and regional fertilizer prices</t>
  </si>
  <si>
    <t xml:space="preserve">Check which regional reports are current</t>
  </si>
  <si>
    <t xml:space="preserve">Input cost</t>
  </si>
  <si>
    <t xml:space="preserve">Cost structure and enterprises</t>
  </si>
  <si>
    <t xml:space="preserve">Financial Analysis; Adoption &amp; Efficiency</t>
  </si>
  <si>
    <t xml:space="preserve">Hours to a day</t>
  </si>
  <si>
    <t xml:space="preserve">S022</t>
  </si>
  <si>
    <t xml:space="preserve">CME dairy futures and spot</t>
  </si>
  <si>
    <t xml:space="preserve">CME Group</t>
  </si>
  <si>
    <t xml:space="preserve">Delayed free / real-time licensed</t>
  </si>
  <si>
    <t xml:space="preserve">https://www.cmegroup.com/markets/agriculture.html</t>
  </si>
  <si>
    <t xml:space="preserve">Class III and IV milk, cheese, butter, NDM, dry whey futures; forward curve</t>
  </si>
  <si>
    <t xml:space="preserve">Futures curve shows what the market pays to wait</t>
  </si>
  <si>
    <t xml:space="preserve">S017, S006</t>
  </si>
  <si>
    <t xml:space="preserve">Wave 2</t>
  </si>
  <si>
    <t xml:space="preserve">Confirm CME data licensing for display in a commercial product; fall back to AMS feeds</t>
  </si>
  <si>
    <t xml:space="preserve">S023</t>
  </si>
  <si>
    <t xml:space="preserve">CME grain and livestock futures</t>
  </si>
  <si>
    <t xml:space="preserve">Corn, soy, wheat, live and feeder cattle, lean hogs</t>
  </si>
  <si>
    <t xml:space="preserve">Use curve shape and basis, not just front month</t>
  </si>
  <si>
    <t xml:space="preserve">S024</t>
  </si>
  <si>
    <t xml:space="preserve">Global Dairy Trade auctions</t>
  </si>
  <si>
    <t xml:space="preserve">Global Dairy Trade</t>
  </si>
  <si>
    <t xml:space="preserve">Geopolitics</t>
  </si>
  <si>
    <t xml:space="preserve">Twice monthly</t>
  </si>
  <si>
    <t xml:space="preserve">https://www.globaldairytrade.info/</t>
  </si>
  <si>
    <t xml:space="preserve">International dairy commodity price signal</t>
  </si>
  <si>
    <t xml:space="preserve">Reflects New Zealand, EU and other exporter supply</t>
  </si>
  <si>
    <t xml:space="preserve">Web-only; check terms and plan for licensed access or careful scraping</t>
  </si>
  <si>
    <t xml:space="preserve">S025</t>
  </si>
  <si>
    <t xml:space="preserve">GATS (Global Agricultural Trade System)</t>
  </si>
  <si>
    <t xml:space="preserve">Trade flow</t>
  </si>
  <si>
    <t xml:space="preserve">https://apps.fas.usda.gov/gats/</t>
  </si>
  <si>
    <t xml:space="preserve">US exports and imports by product (HS code), country, value and volume</t>
  </si>
  <si>
    <t xml:space="preserve">Confirm HS codes: whey, milk albumins and lactose sit in different chapters</t>
  </si>
  <si>
    <t xml:space="preserve">S028</t>
  </si>
  <si>
    <t xml:space="preserve">Trade and geopolitics</t>
  </si>
  <si>
    <t xml:space="preserve">Products sold, buyers, and inputs bought</t>
  </si>
  <si>
    <t xml:space="preserve">Until the action changes</t>
  </si>
  <si>
    <t xml:space="preserve">S026</t>
  </si>
  <si>
    <t xml:space="preserve">FAS Export Sales Reporting</t>
  </si>
  <si>
    <t xml:space="preserve">https://apps.fas.usda.gov/export-sales/esrd1.html</t>
  </si>
  <si>
    <t xml:space="preserve">Weekly commitments and shipments by destination</t>
  </si>
  <si>
    <t xml:space="preserve">Fast read on buyer demand, such as China and Mexico</t>
  </si>
  <si>
    <t xml:space="preserve">Wave 3</t>
  </si>
  <si>
    <t xml:space="preserve">S027</t>
  </si>
  <si>
    <t xml:space="preserve">FAS GAIN reports</t>
  </si>
  <si>
    <t xml:space="preserve">USDA FAS attaches</t>
  </si>
  <si>
    <t xml:space="preserve">Continuous</t>
  </si>
  <si>
    <t xml:space="preserve">https://gain.fas.usda.gov/</t>
  </si>
  <si>
    <t xml:space="preserve">Country-level reports on policy, crops, and market access from overseas staff</t>
  </si>
  <si>
    <t xml:space="preserve">One of the best on-the-ground geopolitical sources</t>
  </si>
  <si>
    <t xml:space="preserve">Census Bureau trade data</t>
  </si>
  <si>
    <t xml:space="preserve">US Census Bureau</t>
  </si>
  <si>
    <t xml:space="preserve">https://www.census.gov/foreign-trade/index.html</t>
  </si>
  <si>
    <t xml:space="preserve">US trade by HS code and partner</t>
  </si>
  <si>
    <t xml:space="preserve">Cross-check against GATS</t>
  </si>
  <si>
    <t xml:space="preserve">S029</t>
  </si>
  <si>
    <t xml:space="preserve">UN Comtrade</t>
  </si>
  <si>
    <t xml:space="preserve">United Nations</t>
  </si>
  <si>
    <t xml:space="preserve">Monthly / annual</t>
  </si>
  <si>
    <t xml:space="preserve">Free tier API / paid tiers</t>
  </si>
  <si>
    <t xml:space="preserve">https://comtradeplus.un.org/</t>
  </si>
  <si>
    <t xml:space="preserve">Global trade flows between country pairs</t>
  </si>
  <si>
    <t xml:space="preserve">Needed to see competitors and third-country demand</t>
  </si>
  <si>
    <t xml:space="preserve">S030</t>
  </si>
  <si>
    <t xml:space="preserve">USDEC data and analysis</t>
  </si>
  <si>
    <t xml:space="preserve">US Dairy Export Council</t>
  </si>
  <si>
    <t xml:space="preserve">Analyst view</t>
  </si>
  <si>
    <t xml:space="preserve">Mixed (members / public)</t>
  </si>
  <si>
    <t xml:space="preserve">https://www.usdec.org/</t>
  </si>
  <si>
    <t xml:space="preserve">US dairy export trends by product and market</t>
  </si>
  <si>
    <t xml:space="preserve">Strong on whey and ingredient exports</t>
  </si>
  <si>
    <t xml:space="preserve">S025, S028</t>
  </si>
  <si>
    <t xml:space="preserve">S031</t>
  </si>
  <si>
    <t xml:space="preserve">FAOSTAT</t>
  </si>
  <si>
    <t xml:space="preserve">FAO</t>
  </si>
  <si>
    <t xml:space="preserve">https://www.fao.org/faostat/</t>
  </si>
  <si>
    <t xml:space="preserve">Global production, trade, food balances</t>
  </si>
  <si>
    <t xml:space="preserve">Lags by months to a year</t>
  </si>
  <si>
    <t xml:space="preserve">S032</t>
  </si>
  <si>
    <t xml:space="preserve">FAO Food Price Index</t>
  </si>
  <si>
    <t xml:space="preserve">https://www.fao.org/worldfoodsituation/foodpricesindex/en/</t>
  </si>
  <si>
    <t xml:space="preserve">Global food price index by commodity group</t>
  </si>
  <si>
    <t xml:space="preserve">Useful global price context</t>
  </si>
  <si>
    <t xml:space="preserve">S033</t>
  </si>
  <si>
    <t xml:space="preserve">OECD-FAO Agricultural Outlook</t>
  </si>
  <si>
    <t xml:space="preserve">OECD / FAO</t>
  </si>
  <si>
    <t xml:space="preserve">Outlook</t>
  </si>
  <si>
    <t xml:space="preserve">https://www.agri-outlook.org/</t>
  </si>
  <si>
    <t xml:space="preserve">10-year projections of production, use, trade, prices</t>
  </si>
  <si>
    <t xml:space="preserve">Baseline for long-term drivers</t>
  </si>
  <si>
    <t xml:space="preserve">S001, S002, S031</t>
  </si>
  <si>
    <t xml:space="preserve">S034</t>
  </si>
  <si>
    <t xml:space="preserve">FAPRI baseline</t>
  </si>
  <si>
    <t xml:space="preserve">University of Missouri</t>
  </si>
  <si>
    <t xml:space="preserve">https://www.fapri.missouri.edu/</t>
  </si>
  <si>
    <t xml:space="preserve">US baseline projections and policy scenarios</t>
  </si>
  <si>
    <t xml:space="preserve">Good for farm bill and policy what-ifs</t>
  </si>
  <si>
    <t xml:space="preserve">S001, S003</t>
  </si>
  <si>
    <t xml:space="preserve">S035</t>
  </si>
  <si>
    <t xml:space="preserve">EIA weekly ethanol and energy data</t>
  </si>
  <si>
    <t xml:space="preserve">US EIA</t>
  </si>
  <si>
    <t xml:space="preserve">Technology</t>
  </si>
  <si>
    <t xml:space="preserve">https://www.eia.gov/opendata/</t>
  </si>
  <si>
    <t xml:space="preserve">Ethanol production and stocks; energy prices</t>
  </si>
  <si>
    <t xml:space="preserve">Ethanol is a major corn demand channel</t>
  </si>
  <si>
    <t xml:space="preserve">S036</t>
  </si>
  <si>
    <t xml:space="preserve">NOPA crush report</t>
  </si>
  <si>
    <t xml:space="preserve">National Oilseed Processors Association</t>
  </si>
  <si>
    <t xml:space="preserve">https://www.nopa.org/</t>
  </si>
  <si>
    <t xml:space="preserve">US soybean crush, meal and oil stocks</t>
  </si>
  <si>
    <t xml:space="preserve">Shows crush demand tied to biofuel and feed</t>
  </si>
  <si>
    <t xml:space="preserve">S037</t>
  </si>
  <si>
    <t xml:space="preserve">EPA Renewable Fuel Standard</t>
  </si>
  <si>
    <t xml:space="preserve">US EPA</t>
  </si>
  <si>
    <t xml:space="preserve">Policy</t>
  </si>
  <si>
    <t xml:space="preserve">Cross-driver</t>
  </si>
  <si>
    <t xml:space="preserve">Event-driven</t>
  </si>
  <si>
    <t xml:space="preserve">https://www.epa.gov/renewable-fuel-standard-program</t>
  </si>
  <si>
    <t xml:space="preserve">Biofuel blending requirements that drive soy oil and corn demand</t>
  </si>
  <si>
    <t xml:space="preserve">Policy changes can move demand fast</t>
  </si>
  <si>
    <t xml:space="preserve">Policy and regulation</t>
  </si>
  <si>
    <t xml:space="preserve">Enterprises, size class, and diversification paths</t>
  </si>
  <si>
    <t xml:space="preserve">Risk &amp; Protection; Income Diversification</t>
  </si>
  <si>
    <t xml:space="preserve">Until the status changes</t>
  </si>
  <si>
    <t xml:space="preserve">S038</t>
  </si>
  <si>
    <t xml:space="preserve">CONAB crop reports</t>
  </si>
  <si>
    <t xml:space="preserve">Brazil CONAB</t>
  </si>
  <si>
    <t xml:space="preserve">https://www.conab.gov.br/</t>
  </si>
  <si>
    <t xml:space="preserve">Brazil crop estimates (soy, corn)</t>
  </si>
  <si>
    <t xml:space="preserve">Main competitor supply signal</t>
  </si>
  <si>
    <t xml:space="preserve">S039</t>
  </si>
  <si>
    <t xml:space="preserve">Argentine grain exchange reports</t>
  </si>
  <si>
    <t xml:space="preserve">Buenos Aires and Rosario exchanges</t>
  </si>
  <si>
    <t xml:space="preserve">https://www.bolsadecereales.com/</t>
  </si>
  <si>
    <t xml:space="preserve">Argentina crop condition and estimates</t>
  </si>
  <si>
    <t xml:space="preserve">Spanish-language; useful for competitor supply</t>
  </si>
  <si>
    <t xml:space="preserve">S040</t>
  </si>
  <si>
    <t xml:space="preserve">APHIS animal health data</t>
  </si>
  <si>
    <t xml:space="preserve">USDA APHIS</t>
  </si>
  <si>
    <t xml:space="preserve">Disease / border</t>
  </si>
  <si>
    <t xml:space="preserve">https://www.aphis.usda.gov/</t>
  </si>
  <si>
    <t xml:space="preserve">HPAI detections, animal disease status, import restrictions</t>
  </si>
  <si>
    <t xml:space="preserve">Disease can close markets quickly</t>
  </si>
  <si>
    <t xml:space="preserve">Disease and border</t>
  </si>
  <si>
    <t xml:space="preserve">Location and livestock enterprises</t>
  </si>
  <si>
    <t xml:space="preserve">Risk &amp; Protection</t>
  </si>
  <si>
    <t xml:space="preserve">Until the notice changes</t>
  </si>
  <si>
    <t xml:space="preserve">Web notices with no clear API; check terms</t>
  </si>
  <si>
    <t xml:space="preserve">S041</t>
  </si>
  <si>
    <t xml:space="preserve">DTN retail fertilizer trends</t>
  </si>
  <si>
    <t xml:space="preserve">DTN</t>
  </si>
  <si>
    <t xml:space="preserve">https://www.dtnpf.com/</t>
  </si>
  <si>
    <t xml:space="preserve">Retail fertilizer prices by product</t>
  </si>
  <si>
    <t xml:space="preserve">Input cost signal</t>
  </si>
  <si>
    <t xml:space="preserve">S042</t>
  </si>
  <si>
    <t xml:space="preserve">World Bank Commodity Markets (Pink Sheet)</t>
  </si>
  <si>
    <t xml:space="preserve">World Bank</t>
  </si>
  <si>
    <t xml:space="preserve">https://www.worldbank.org/en/research/commodity-markets</t>
  </si>
  <si>
    <t xml:space="preserve">Monthly global prices for fertilizer, energy, food</t>
  </si>
  <si>
    <t xml:space="preserve">Useful long price history</t>
  </si>
  <si>
    <t xml:space="preserve">S043</t>
  </si>
  <si>
    <t xml:space="preserve">farmdoc daily</t>
  </si>
  <si>
    <t xml:space="preserve">University of Illinois</t>
  </si>
  <si>
    <t xml:space="preserve">Analyst</t>
  </si>
  <si>
    <t xml:space="preserve">Several per week</t>
  </si>
  <si>
    <t xml:space="preserve">https://farmdocdaily.illinois.edu/</t>
  </si>
  <si>
    <t xml:space="preserve">Practical economics, crop budgets, policy analysis</t>
  </si>
  <si>
    <t xml:space="preserve">High-quality extension economics</t>
  </si>
  <si>
    <t xml:space="preserve">S001, S003, S022, S023</t>
  </si>
  <si>
    <t xml:space="preserve">S044</t>
  </si>
  <si>
    <t xml:space="preserve">Iowa State Ag Decision Maker</t>
  </si>
  <si>
    <t xml:space="preserve">Iowa State University</t>
  </si>
  <si>
    <t xml:space="preserve">https://www.extension.iastate.edu/agdm/</t>
  </si>
  <si>
    <t xml:space="preserve">Farm management and market analysis</t>
  </si>
  <si>
    <t xml:space="preserve">Land-grant extension source</t>
  </si>
  <si>
    <t xml:space="preserve">S045</t>
  </si>
  <si>
    <t xml:space="preserve">Purdue Ag Economy Barometer</t>
  </si>
  <si>
    <t xml:space="preserve">Purdue / CME Group</t>
  </si>
  <si>
    <t xml:space="preserve">https://ag.purdue.edu/commercialag/ageconomybarometer/</t>
  </si>
  <si>
    <t xml:space="preserve">Farmer sentiment on investment, finance, land</t>
  </si>
  <si>
    <t xml:space="preserve">Survey of producers</t>
  </si>
  <si>
    <t xml:space="preserve">S046</t>
  </si>
  <si>
    <t xml:space="preserve">Kansas City Fed ag credit surveys</t>
  </si>
  <si>
    <t xml:space="preserve">Federal Reserve Bank of Kansas City</t>
  </si>
  <si>
    <t xml:space="preserve">https://www.kansascityfed.org/agriculture/ag-credit-surveys/</t>
  </si>
  <si>
    <t xml:space="preserve">Farm credit conditions, land values, interest rates</t>
  </si>
  <si>
    <t xml:space="preserve">Regional ag banker survey</t>
  </si>
  <si>
    <t xml:space="preserve">S047</t>
  </si>
  <si>
    <t xml:space="preserve">Chicago Fed AgLetter</t>
  </si>
  <si>
    <t xml:space="preserve">Federal Reserve Bank of Chicago</t>
  </si>
  <si>
    <t xml:space="preserve">https://www.chicagofed.org/publications/agletter/index</t>
  </si>
  <si>
    <t xml:space="preserve">Land values and credit in the Seventh District</t>
  </si>
  <si>
    <t xml:space="preserve">Verify current page address</t>
  </si>
  <si>
    <t xml:space="preserve">S048</t>
  </si>
  <si>
    <t xml:space="preserve">RaboResearch (dairy, grains, animal protein, fresh produce)</t>
  </si>
  <si>
    <t xml:space="preserve">Rabobank</t>
  </si>
  <si>
    <t xml:space="preserve">Mixed (some paywalled)</t>
  </si>
  <si>
    <t xml:space="preserve">https://research.rabobank.com/</t>
  </si>
  <si>
    <t xml:space="preserve">Global sector outlooks and thematic reports</t>
  </si>
  <si>
    <t xml:space="preserve">Top interpretation layer; confirm access level</t>
  </si>
  <si>
    <t xml:space="preserve">S001, S003, S025, S022, S024</t>
  </si>
  <si>
    <t xml:space="preserve">S049</t>
  </si>
  <si>
    <t xml:space="preserve">LMIC (Livestock Marketing Information Center)</t>
  </si>
  <si>
    <t xml:space="preserve">LMIC</t>
  </si>
  <si>
    <t xml:space="preserve">Paid</t>
  </si>
  <si>
    <t xml:space="preserve">https://lmic.info/</t>
  </si>
  <si>
    <t xml:space="preserve">Livestock, meat and dairy market analysis</t>
  </si>
  <si>
    <t xml:space="preserve">Subscription</t>
  </si>
  <si>
    <t xml:space="preserve">S001, S005, S018</t>
  </si>
  <si>
    <t xml:space="preserve">S050</t>
  </si>
  <si>
    <t xml:space="preserve">CattleFax</t>
  </si>
  <si>
    <t xml:space="preserve">Weekly / periodic</t>
  </si>
  <si>
    <t xml:space="preserve">https://www.cattlefax.com/</t>
  </si>
  <si>
    <t xml:space="preserve">Cattle market outlook and data</t>
  </si>
  <si>
    <t xml:space="preserve">S005, S018, S023</t>
  </si>
  <si>
    <t xml:space="preserve">S051</t>
  </si>
  <si>
    <t xml:space="preserve">IDFA and NMPF industry analysis</t>
  </si>
  <si>
    <t xml:space="preserve">IDFA / NMPF</t>
  </si>
  <si>
    <t xml:space="preserve">https://www.idfa.org/</t>
  </si>
  <si>
    <t xml:space="preserve">Dairy processor and producer policy and market views</t>
  </si>
  <si>
    <t xml:space="preserve">Advocacy sources; label as such</t>
  </si>
  <si>
    <t xml:space="preserve">Opinion</t>
  </si>
  <si>
    <t xml:space="preserve">S006, S017, S025</t>
  </si>
  <si>
    <t xml:space="preserve">IMF World Economic Outlook</t>
  </si>
  <si>
    <t xml:space="preserve">IMF</t>
  </si>
  <si>
    <t xml:space="preserve">Twice yearly</t>
  </si>
  <si>
    <t xml:space="preserve">Free download / API</t>
  </si>
  <si>
    <t xml:space="preserve">https://www.imf.org/en/Publications/WEO</t>
  </si>
  <si>
    <t xml:space="preserve">Global growth and inflation forecasts</t>
  </si>
  <si>
    <t xml:space="preserve">Macro backdrop</t>
  </si>
  <si>
    <t xml:space="preserve">S053</t>
  </si>
  <si>
    <t xml:space="preserve">World Bank Open Data</t>
  </si>
  <si>
    <t xml:space="preserve">https://data.worldbank.org/</t>
  </si>
  <si>
    <t xml:space="preserve">Income, population, urbanization by country</t>
  </si>
  <si>
    <t xml:space="preserve">Demand-side indicators</t>
  </si>
  <si>
    <t xml:space="preserve">S054</t>
  </si>
  <si>
    <t xml:space="preserve">USTR trade actions</t>
  </si>
  <si>
    <t xml:space="preserve">US Trade Representative</t>
  </si>
  <si>
    <t xml:space="preserve">https://ustr.gov/</t>
  </si>
  <si>
    <t xml:space="preserve">Tariffs, trade agreements, investigations</t>
  </si>
  <si>
    <t xml:space="preserve">Monitor for market access changes</t>
  </si>
  <si>
    <t xml:space="preserve">S055</t>
  </si>
  <si>
    <t xml:space="preserve">WTO data and notifications</t>
  </si>
  <si>
    <t xml:space="preserve">World Trade Organization</t>
  </si>
  <si>
    <t xml:space="preserve">https://www.wto.org/</t>
  </si>
  <si>
    <t xml:space="preserve">Tariff schedules, disputes, SPS/TBT notifications</t>
  </si>
  <si>
    <t xml:space="preserve">Non-tariff barriers show up here</t>
  </si>
  <si>
    <t xml:space="preserve">S056</t>
  </si>
  <si>
    <t xml:space="preserve">Global Trade Alert</t>
  </si>
  <si>
    <t xml:space="preserve">St. Gallen</t>
  </si>
  <si>
    <t xml:space="preserve">https://www.globaltradealert.org/</t>
  </si>
  <si>
    <t xml:space="preserve">Tracker of trade policy interventions worldwide</t>
  </si>
  <si>
    <t xml:space="preserve">Independent policy tracker</t>
  </si>
  <si>
    <t xml:space="preserve">S054, S057</t>
  </si>
  <si>
    <t xml:space="preserve">Check terms and data export options</t>
  </si>
  <si>
    <t xml:space="preserve">S057</t>
  </si>
  <si>
    <t xml:space="preserve">Federal Register</t>
  </si>
  <si>
    <t xml:space="preserve">US Government</t>
  </si>
  <si>
    <t xml:space="preserve">https://www.federalregister.gov/</t>
  </si>
  <si>
    <t xml:space="preserve">Proposed and final rules from USDA, FDA, EPA, USTR</t>
  </si>
  <si>
    <t xml:space="preserve">Use API keyword alerts</t>
  </si>
  <si>
    <t xml:space="preserve">S058</t>
  </si>
  <si>
    <t xml:space="preserve">ACLED</t>
  </si>
  <si>
    <t xml:space="preserve">Free for registered users</t>
  </si>
  <si>
    <t xml:space="preserve">https://acleddata.com/</t>
  </si>
  <si>
    <t xml:space="preserve">Conflict events affecting ports, routes, producers</t>
  </si>
  <si>
    <t xml:space="preserve">Check terms of use</t>
  </si>
  <si>
    <t xml:space="preserve">S059</t>
  </si>
  <si>
    <t xml:space="preserve">Dietary Guidelines for Americans</t>
  </si>
  <si>
    <t xml:space="preserve">USDA / HHS</t>
  </si>
  <si>
    <t xml:space="preserve">https://www.dietaryguidelines.gov/</t>
  </si>
  <si>
    <t xml:space="preserve">Federal dietary guidance that shapes school meals and programs</t>
  </si>
  <si>
    <t xml:space="preserve">Slow but structural demand driver</t>
  </si>
  <si>
    <t xml:space="preserve">S060</t>
  </si>
  <si>
    <t xml:space="preserve">FDA food regulation and approvals</t>
  </si>
  <si>
    <t xml:space="preserve">US FDA</t>
  </si>
  <si>
    <t xml:space="preserve">https://www.fda.gov/food</t>
  </si>
  <si>
    <t xml:space="preserve">Labeling, ingredient safety, novel food and GRAS decisions</t>
  </si>
  <si>
    <t xml:space="preserve">Tracks precision fermentation and new proteins</t>
  </si>
  <si>
    <t xml:space="preserve">S061</t>
  </si>
  <si>
    <t xml:space="preserve">CDC nutrition and obesity data</t>
  </si>
  <si>
    <t xml:space="preserve">US CDC</t>
  </si>
  <si>
    <t xml:space="preserve">https://www.cdc.gov/</t>
  </si>
  <si>
    <t xml:space="preserve">Diet and health trends</t>
  </si>
  <si>
    <t xml:space="preserve">Context for protein and GLP-1 related demand shifts</t>
  </si>
  <si>
    <t xml:space="preserve">S062</t>
  </si>
  <si>
    <t xml:space="preserve">IFIC Food and Health Survey</t>
  </si>
  <si>
    <t xml:space="preserve">International Food Information Council</t>
  </si>
  <si>
    <t xml:space="preserve">https://foodinsight.org/</t>
  </si>
  <si>
    <t xml:space="preserve">Consumer attitudes on protein, ingredients, health</t>
  </si>
  <si>
    <t xml:space="preserve">Survey-based; note sample and sponsor</t>
  </si>
  <si>
    <t xml:space="preserve">S063</t>
  </si>
  <si>
    <t xml:space="preserve">Circana and NielsenIQ retail data</t>
  </si>
  <si>
    <t xml:space="preserve">Circana / NielsenIQ</t>
  </si>
  <si>
    <t xml:space="preserve">Weekly / monthly</t>
  </si>
  <si>
    <t xml:space="preserve">https://www.circana.com/</t>
  </si>
  <si>
    <t xml:space="preserve">Retail sales volume and price by category</t>
  </si>
  <si>
    <t xml:space="preserve">Strong demand signal; subscription</t>
  </si>
  <si>
    <t xml:space="preserve">S064</t>
  </si>
  <si>
    <t xml:space="preserve">NOAA Climate Prediction Center</t>
  </si>
  <si>
    <t xml:space="preserve">NOAA</t>
  </si>
  <si>
    <t xml:space="preserve">Weather</t>
  </si>
  <si>
    <t xml:space="preserve">Climate Volatility</t>
  </si>
  <si>
    <t xml:space="preserve">https://www.cpc.ncep.noaa.gov/</t>
  </si>
  <si>
    <t xml:space="preserve">Seasonal temperature and precipitation outlooks, ENSO status</t>
  </si>
  <si>
    <t xml:space="preserve">Core near-term weather layer</t>
  </si>
  <si>
    <t xml:space="preserve">Weather and climate</t>
  </si>
  <si>
    <t xml:space="preserve">Location and operation characteristics (soil, water, climate zone)</t>
  </si>
  <si>
    <t xml:space="preserve">S065</t>
  </si>
  <si>
    <t xml:space="preserve">US Drought Monitor</t>
  </si>
  <si>
    <t xml:space="preserve">NDMC / USDA / NOAA</t>
  </si>
  <si>
    <t xml:space="preserve">https://droughtmonitor.unl.edu/</t>
  </si>
  <si>
    <t xml:space="preserve">Drought severity by county</t>
  </si>
  <si>
    <t xml:space="preserve">Map to farm location</t>
  </si>
  <si>
    <t xml:space="preserve">S066</t>
  </si>
  <si>
    <t xml:space="preserve">Copernicus Climate Change Service</t>
  </si>
  <si>
    <t xml:space="preserve">ECMWF</t>
  </si>
  <si>
    <t xml:space="preserve">https://climate.copernicus.eu/</t>
  </si>
  <si>
    <t xml:space="preserve">Global climate data and seasonal forecasts</t>
  </si>
  <si>
    <t xml:space="preserve">Good for non-US producer regions</t>
  </si>
  <si>
    <t xml:space="preserve">S067</t>
  </si>
  <si>
    <t xml:space="preserve">FAO GIEWS and FEWS NET</t>
  </si>
  <si>
    <t xml:space="preserve">FAO / USAID-origin network</t>
  </si>
  <si>
    <t xml:space="preserve">https://www.fao.org/giews/</t>
  </si>
  <si>
    <t xml:space="preserve">Crop prospects and food security alerts</t>
  </si>
  <si>
    <t xml:space="preserve">Confirm FEWS NET availability and hosting before relying on it</t>
  </si>
  <si>
    <t xml:space="preserve">S064, S066, S038</t>
  </si>
  <si>
    <t xml:space="preserve">S068</t>
  </si>
  <si>
    <t xml:space="preserve">USDA Risk Management Agency</t>
  </si>
  <si>
    <t xml:space="preserve">USDA RMA</t>
  </si>
  <si>
    <t xml:space="preserve">https://www.rma.usda.gov/</t>
  </si>
  <si>
    <t xml:space="preserve">Crop insurance participation, indemnities, rates</t>
  </si>
  <si>
    <t xml:space="preserve">Shows where weather losses concentrate</t>
  </si>
  <si>
    <t xml:space="preserve">S069</t>
  </si>
  <si>
    <t xml:space="preserve">USPTO PatentsView</t>
  </si>
  <si>
    <t xml:space="preserve">USPTO</t>
  </si>
  <si>
    <t xml:space="preserve">https://patentsview.org/</t>
  </si>
  <si>
    <t xml:space="preserve">Patent filings in ag, food, fermentation, genetics</t>
  </si>
  <si>
    <t xml:space="preserve">Leading indicator of technology shifts</t>
  </si>
  <si>
    <t xml:space="preserve">Technology and structure</t>
  </si>
  <si>
    <t xml:space="preserve">Goals, adoption plans, and competitive advantage</t>
  </si>
  <si>
    <t xml:space="preserve">Adoption &amp; Efficiency; Competitive Advantage</t>
  </si>
  <si>
    <t xml:space="preserve">Weeks</t>
  </si>
  <si>
    <t xml:space="preserve">S070</t>
  </si>
  <si>
    <t xml:space="preserve">AgFunder research and news</t>
  </si>
  <si>
    <t xml:space="preserve">AgFunder</t>
  </si>
  <si>
    <t xml:space="preserve">https://agfundernews.com/</t>
  </si>
  <si>
    <t xml:space="preserve">Ag and food tech investment trends</t>
  </si>
  <si>
    <t xml:space="preserve">Investment is a signal, not proof of adoption</t>
  </si>
  <si>
    <t xml:space="preserve">S071</t>
  </si>
  <si>
    <t xml:space="preserve">DOJ Antitrust and FTC actions</t>
  </si>
  <si>
    <t xml:space="preserve">US DOJ / FTC</t>
  </si>
  <si>
    <t xml:space="preserve">https://www.justice.gov/atr</t>
  </si>
  <si>
    <t xml:space="preserve">Merger reviews and competition actions in food and ag</t>
  </si>
  <si>
    <t xml:space="preserve">Consolidation and market power signals</t>
  </si>
  <si>
    <t xml:space="preserve">S072</t>
  </si>
  <si>
    <t xml:space="preserve">Congress.gov</t>
  </si>
  <si>
    <t xml:space="preserve">Library of Congress</t>
  </si>
  <si>
    <t xml:space="preserve">Official record</t>
  </si>
  <si>
    <t xml:space="preserve">Free web / API</t>
  </si>
  <si>
    <t xml:space="preserve">https://www.congress.gov/</t>
  </si>
  <si>
    <t xml:space="preserve">Bill text, status, sponsors, amendments, including farm bill, appropriations and trade bills</t>
  </si>
  <si>
    <t xml:space="preserve">Primary legislative record; API available</t>
  </si>
  <si>
    <t xml:space="preserve">S073</t>
  </si>
  <si>
    <t xml:space="preserve">House and Senate Agriculture Committees</t>
  </si>
  <si>
    <t xml:space="preserve">US Congress</t>
  </si>
  <si>
    <t xml:space="preserve">https://agriculture.house.gov/</t>
  </si>
  <si>
    <t xml:space="preserve">Farm bill hearings, markups, committee reports, jurisdiction over farm programs</t>
  </si>
  <si>
    <t xml:space="preserve">Senate site: agriculture.senate.gov</t>
  </si>
  <si>
    <t xml:space="preserve">S074</t>
  </si>
  <si>
    <t xml:space="preserve">CRS reports on agriculture policy</t>
  </si>
  <si>
    <t xml:space="preserve">Congressional Research Service</t>
  </si>
  <si>
    <t xml:space="preserve">https://crsreports.congress.gov/</t>
  </si>
  <si>
    <t xml:space="preserve">Nonpartisan explainers of farm programs, trade, food safety and regulation</t>
  </si>
  <si>
    <t xml:space="preserve">Good for how a rule or program works</t>
  </si>
  <si>
    <t xml:space="preserve">S075</t>
  </si>
  <si>
    <t xml:space="preserve">CBO baseline and farm program cost estimates</t>
  </si>
  <si>
    <t xml:space="preserve">Congressional Budget Office</t>
  </si>
  <si>
    <t xml:space="preserve">Annual / event-driven</t>
  </si>
  <si>
    <t xml:space="preserve">https://www.cbo.gov/</t>
  </si>
  <si>
    <t xml:space="preserve">Projected spending on commodity programs, crop insurance, nutrition; cost of bills</t>
  </si>
  <si>
    <t xml:space="preserve">Shows what policy changes cost and when</t>
  </si>
  <si>
    <t xml:space="preserve">S076</t>
  </si>
  <si>
    <t xml:space="preserve">Regulations.gov dockets</t>
  </si>
  <si>
    <t xml:space="preserve">https://www.regulations.gov/</t>
  </si>
  <si>
    <t xml:space="preserve">Proposed rules, public comments, final rule dockets from USDA, EPA, FDA, DOL</t>
  </si>
  <si>
    <t xml:space="preserve">Comment periods are early warning of rule changes</t>
  </si>
  <si>
    <t xml:space="preserve">S077</t>
  </si>
  <si>
    <t xml:space="preserve">Unified Agenda and OIRA review</t>
  </si>
  <si>
    <t xml:space="preserve">Office of Management and Budget</t>
  </si>
  <si>
    <t xml:space="preserve">Twice yearly / continuous</t>
  </si>
  <si>
    <t xml:space="preserve">https://www.reginfo.gov/public/do/eAgendaMain</t>
  </si>
  <si>
    <t xml:space="preserve">Rules planned and under White House review, with expected timing</t>
  </si>
  <si>
    <t xml:space="preserve">Earliest public signal that a rule is coming</t>
  </si>
  <si>
    <t xml:space="preserve">S078</t>
  </si>
  <si>
    <t xml:space="preserve">USDA FSA program notices</t>
  </si>
  <si>
    <t xml:space="preserve">USDA Farm Service Agency</t>
  </si>
  <si>
    <t xml:space="preserve">https://www.fsa.usda.gov/resources/programs</t>
  </si>
  <si>
    <t xml:space="preserve">ARC/PLC, Dairy Margin Coverage, disaster aid, loan programs, sign-up dates</t>
  </si>
  <si>
    <t xml:space="preserve">Program rules and deadlines that affect farm income</t>
  </si>
  <si>
    <t xml:space="preserve">S079</t>
  </si>
  <si>
    <t xml:space="preserve">Federal Milk Marketing Orders</t>
  </si>
  <si>
    <t xml:space="preserve">https://www.ams.usda.gov/rules-regulations/moa/dairy</t>
  </si>
  <si>
    <t xml:space="preserve">Milk pricing formulas, hearings, decisions, and amendments</t>
  </si>
  <si>
    <t xml:space="preserve">Direct driver of the milk check; confirm current page address</t>
  </si>
  <si>
    <t xml:space="preserve">S080</t>
  </si>
  <si>
    <t xml:space="preserve">AMS marketing orders and agreements</t>
  </si>
  <si>
    <t xml:space="preserve">https://www.ams.usda.gov/rules-regulations/moa</t>
  </si>
  <si>
    <t xml:space="preserve">Fruit, vegetable, nut and milk marketing orders; research and promotion programs</t>
  </si>
  <si>
    <t xml:space="preserve">Rules that shape volumes, quality and promotion</t>
  </si>
  <si>
    <t xml:space="preserve">S081</t>
  </si>
  <si>
    <t xml:space="preserve">Packers and Stockyards Act rules and enforcement</t>
  </si>
  <si>
    <t xml:space="preserve">https://www.ams.usda.gov/rules-regulations/packers-and-stockyards-act</t>
  </si>
  <si>
    <t xml:space="preserve">Contracting, pricing transparency and competition rules for livestock and poultry</t>
  </si>
  <si>
    <t xml:space="preserve">Confirm current page address</t>
  </si>
  <si>
    <t xml:space="preserve">S082</t>
  </si>
  <si>
    <t xml:space="preserve">FSIS rules, labeling and inspection policy</t>
  </si>
  <si>
    <t xml:space="preserve">USDA FSIS</t>
  </si>
  <si>
    <t xml:space="preserve">https://www.fsis.usda.gov/policy</t>
  </si>
  <si>
    <t xml:space="preserve">Meat, poultry and egg product inspection, line speeds, origin and product labeling</t>
  </si>
  <si>
    <t xml:space="preserve">Covers processing and labeling that sets market access</t>
  </si>
  <si>
    <t xml:space="preserve">S083</t>
  </si>
  <si>
    <t xml:space="preserve">APHIS regulations (animal disease, plant health, biotechnology)</t>
  </si>
  <si>
    <t xml:space="preserve">Disease control rules, import and movement restrictions, biotech crop and organism regulation</t>
  </si>
  <si>
    <t xml:space="preserve">See the regulations and policies sections; confirm deep links</t>
  </si>
  <si>
    <t xml:space="preserve">S084</t>
  </si>
  <si>
    <t xml:space="preserve">FDA Food Safety Modernization Act rules</t>
  </si>
  <si>
    <t xml:space="preserve">https://www.fda.gov/food/guidance-regulation-food-and-dietary-supplements/food-safety-modernization-act-fsma</t>
  </si>
  <si>
    <t xml:space="preserve">Produce safety, preventive controls, traceability requirements</t>
  </si>
  <si>
    <t xml:space="preserve">Compliance cost and market access for produce and processors</t>
  </si>
  <si>
    <t xml:space="preserve">S085</t>
  </si>
  <si>
    <t xml:space="preserve">EPA pesticide program</t>
  </si>
  <si>
    <t xml:space="preserve">https://www.epa.gov/pesticides</t>
  </si>
  <si>
    <t xml:space="preserve">Pesticide registrations, label changes, endangered species measures, residue tolerances</t>
  </si>
  <si>
    <t xml:space="preserve">Affects crop protection options and residue limits</t>
  </si>
  <si>
    <t xml:space="preserve">S086</t>
  </si>
  <si>
    <t xml:space="preserve">EPA agriculture and water, air and nutrient rules</t>
  </si>
  <si>
    <t xml:space="preserve">https://www.epa.gov/agriculture</t>
  </si>
  <si>
    <t xml:space="preserve">Water and air rules, manure and nutrient management, large livestock operations</t>
  </si>
  <si>
    <t xml:space="preserve">Environmental compliance for crop and livestock farms</t>
  </si>
  <si>
    <t xml:space="preserve">S087</t>
  </si>
  <si>
    <t xml:space="preserve">USDA FNS nutrition program rules</t>
  </si>
  <si>
    <t xml:space="preserve">USDA Food and Nutrition Service</t>
  </si>
  <si>
    <t xml:space="preserve">https://www.fns.usda.gov/</t>
  </si>
  <si>
    <t xml:space="preserve">School meals, WIC and SNAP rules that shape demand for dairy, protein and produce</t>
  </si>
  <si>
    <t xml:space="preserve">Demand-side policy</t>
  </si>
  <si>
    <t xml:space="preserve">S088</t>
  </si>
  <si>
    <t xml:space="preserve">NRCS conservation programs</t>
  </si>
  <si>
    <t xml:space="preserve">USDA NRCS</t>
  </si>
  <si>
    <t xml:space="preserve">https://www.nrcs.usda.gov/</t>
  </si>
  <si>
    <t xml:space="preserve">Conservation program rules, funding and sign-ups</t>
  </si>
  <si>
    <t xml:space="preserve">Cost-share and practice standards</t>
  </si>
  <si>
    <t xml:space="preserve">S089</t>
  </si>
  <si>
    <t xml:space="preserve">DOL farm labor and H-2A rules</t>
  </si>
  <si>
    <t xml:space="preserve">US Department of Labor</t>
  </si>
  <si>
    <t xml:space="preserve">https://www.dol.gov/agencies/eta/foreign-labor</t>
  </si>
  <si>
    <t xml:space="preserve">H-2A program rules, wage rates, labor enforcement</t>
  </si>
  <si>
    <t xml:space="preserve">Dairy and year-round operations are mostly outside H-2A but affected by wage and enforcement policy</t>
  </si>
  <si>
    <t xml:space="preserve">S090</t>
  </si>
  <si>
    <t xml:space="preserve">IRS and Treasury guidance for farms</t>
  </si>
  <si>
    <t xml:space="preserve">IRS / US Treasury</t>
  </si>
  <si>
    <t xml:space="preserve">https://www.irs.gov/</t>
  </si>
  <si>
    <t xml:space="preserve">Tax treatment of farm income, equipment, estates, and clean fuel credits</t>
  </si>
  <si>
    <t xml:space="preserve">Verify specific guidance pages; top-level link given</t>
  </si>
  <si>
    <t xml:space="preserve">S091</t>
  </si>
  <si>
    <t xml:space="preserve">ERS Farm and Commodity Policy</t>
  </si>
  <si>
    <t xml:space="preserve">https://www.ers.usda.gov/topics/farm-economy/farm-commodity-policy/</t>
  </si>
  <si>
    <t xml:space="preserve">Explanations of farm programs, payments, and policy changes</t>
  </si>
  <si>
    <t xml:space="preserve">S092</t>
  </si>
  <si>
    <t xml:space="preserve">NCSL agriculture and rural development tracker</t>
  </si>
  <si>
    <t xml:space="preserve">National Conference of State Legislatures</t>
  </si>
  <si>
    <t xml:space="preserve">https://www.ncsl.org/agriculture-and-rural-development</t>
  </si>
  <si>
    <t xml:space="preserve">State legislation summaries on agriculture, food, land and labor</t>
  </si>
  <si>
    <t xml:space="preserve">State-level view; summaries, not bill text</t>
  </si>
  <si>
    <t xml:space="preserve">Location (state) and enterprises</t>
  </si>
  <si>
    <t xml:space="preserve">S093</t>
  </si>
  <si>
    <t xml:space="preserve">LegiScan</t>
  </si>
  <si>
    <t xml:space="preserve">Free tier / paid API</t>
  </si>
  <si>
    <t xml:space="preserve">https://legiscan.com/</t>
  </si>
  <si>
    <t xml:space="preserve">Bill text and status across all 50 state legislatures</t>
  </si>
  <si>
    <t xml:space="preserve">Best for keyword alerts on state bills</t>
  </si>
  <si>
    <t xml:space="preserve">Free tier has limits</t>
  </si>
  <si>
    <t xml:space="preserve">S094</t>
  </si>
  <si>
    <t xml:space="preserve">NASDA</t>
  </si>
  <si>
    <t xml:space="preserve">National Association of State Departments of Agriculture</t>
  </si>
  <si>
    <t xml:space="preserve">https://www.nasda.org/</t>
  </si>
  <si>
    <t xml:space="preserve">State agriculture department positions and policy priorities</t>
  </si>
  <si>
    <t xml:space="preserve">Association view; label as such</t>
  </si>
  <si>
    <t xml:space="preserve">S095</t>
  </si>
  <si>
    <t xml:space="preserve">National Agricultural Law Center</t>
  </si>
  <si>
    <t xml:space="preserve">University of Arkansas</t>
  </si>
  <si>
    <t xml:space="preserve">https://nationalaglawcenter.org/</t>
  </si>
  <si>
    <t xml:space="preserve">Plain-language legal analysis of farm law, state laws and court decisions</t>
  </si>
  <si>
    <t xml:space="preserve">Strong on state law and litigation</t>
  </si>
  <si>
    <t xml:space="preserve">S072, S076</t>
  </si>
  <si>
    <t xml:space="preserve">S096</t>
  </si>
  <si>
    <t xml:space="preserve">Ballotpedia agriculture ballot measures</t>
  </si>
  <si>
    <t xml:space="preserve">Ballotpedia</t>
  </si>
  <si>
    <t xml:space="preserve">https://ballotpedia.org/</t>
  </si>
  <si>
    <t xml:space="preserve">State ballot measures on animal welfare, food and farming</t>
  </si>
  <si>
    <t xml:space="preserve">Animal welfare measures have changed livestock and egg rules</t>
  </si>
  <si>
    <t xml:space="preserve">S097</t>
  </si>
  <si>
    <t xml:space="preserve">USITC tariff schedule (HTS) and trade remedies</t>
  </si>
  <si>
    <t xml:space="preserve">US International Trade Commission</t>
  </si>
  <si>
    <t xml:space="preserve">https://hts.usitc.gov/</t>
  </si>
  <si>
    <t xml:space="preserve">Tariff rates by product code, trade remedy cases</t>
  </si>
  <si>
    <t xml:space="preserve">Pairs with trade data by HS code</t>
  </si>
  <si>
    <t xml:space="preserve">S098</t>
  </si>
  <si>
    <t xml:space="preserve">Commerce AD/CVD enforcement</t>
  </si>
  <si>
    <t xml:space="preserve">US Department of Commerce</t>
  </si>
  <si>
    <t xml:space="preserve">https://www.trade.gov/enforcement-and-compliance</t>
  </si>
  <si>
    <t xml:space="preserve">Antidumping and countervailing duty cases on imports, including fertilizer and produce</t>
  </si>
  <si>
    <t xml:space="preserve">S099</t>
  </si>
  <si>
    <t xml:space="preserve">EU Common Agricultural Policy and EUR-Lex</t>
  </si>
  <si>
    <t xml:space="preserve">European Commission</t>
  </si>
  <si>
    <t xml:space="preserve">https://agriculture.ec.europa.eu/</t>
  </si>
  <si>
    <t xml:space="preserve">EU farm policy, import standards, deforestation and sustainability rules affecting exports</t>
  </si>
  <si>
    <t xml:space="preserve">EUR-Lex holds the legal texts</t>
  </si>
  <si>
    <t xml:space="preserve">S100</t>
  </si>
  <si>
    <t xml:space="preserve">Codex Alimentarius</t>
  </si>
  <si>
    <t xml:space="preserve">FAO / WHO</t>
  </si>
  <si>
    <t xml:space="preserve">https://www.fao.org/fao-who-codexalimentarius/</t>
  </si>
  <si>
    <t xml:space="preserve">International food standards, residue limits, labeling guidance</t>
  </si>
  <si>
    <t xml:space="preserve">Reference standards behind many import rules</t>
  </si>
  <si>
    <t xml:space="preserve">S101</t>
  </si>
  <si>
    <t xml:space="preserve">WOAH animal health standards and disease reports</t>
  </si>
  <si>
    <t xml:space="preserve">World Organisation for Animal Health</t>
  </si>
  <si>
    <t xml:space="preserve">https://www.woah.org/</t>
  </si>
  <si>
    <t xml:space="preserve">Animal disease reporting and trade standards that trigger import bans</t>
  </si>
  <si>
    <t xml:space="preserve">Disease status drives market access</t>
  </si>
  <si>
    <t xml:space="preserve">S102</t>
  </si>
  <si>
    <t xml:space="preserve">National Corn Growers Association</t>
  </si>
  <si>
    <t xml:space="preserve">NCGA</t>
  </si>
  <si>
    <t xml:space="preserve">https://www.ncga.com/</t>
  </si>
  <si>
    <t xml:space="preserve">Corn policy positions on farm bill, biofuels, trade</t>
  </si>
  <si>
    <t xml:space="preserve">Advocacy; label as such</t>
  </si>
  <si>
    <t xml:space="preserve">S103</t>
  </si>
  <si>
    <t xml:space="preserve">American Soybean Association</t>
  </si>
  <si>
    <t xml:space="preserve">ASA</t>
  </si>
  <si>
    <t xml:space="preserve">https://soygrowers.com/</t>
  </si>
  <si>
    <t xml:space="preserve">Soybean policy positions on trade, biofuels, farm programs</t>
  </si>
  <si>
    <t xml:space="preserve">S104</t>
  </si>
  <si>
    <t xml:space="preserve">National Association of Wheat Growers</t>
  </si>
  <si>
    <t xml:space="preserve">NAWG</t>
  </si>
  <si>
    <t xml:space="preserve">https://www.wheatworld.org/</t>
  </si>
  <si>
    <t xml:space="preserve">Wheat policy positions on farm programs and trade</t>
  </si>
  <si>
    <t xml:space="preserve">S105</t>
  </si>
  <si>
    <t xml:space="preserve">NCBA policy</t>
  </si>
  <si>
    <t xml:space="preserve">National Cattlemen's Beef Association</t>
  </si>
  <si>
    <t xml:space="preserve">https://www.ncba.org/</t>
  </si>
  <si>
    <t xml:space="preserve">Beef policy positions on labeling, trade, competition, environment</t>
  </si>
  <si>
    <t xml:space="preserve">S106</t>
  </si>
  <si>
    <t xml:space="preserve">National Pork Producers Council</t>
  </si>
  <si>
    <t xml:space="preserve">NPPC</t>
  </si>
  <si>
    <t xml:space="preserve">https://nppc.org/</t>
  </si>
  <si>
    <t xml:space="preserve">Pork policy positions on state animal-welfare laws, trade, disease</t>
  </si>
  <si>
    <t xml:space="preserve">S107</t>
  </si>
  <si>
    <t xml:space="preserve">National Chicken Council</t>
  </si>
  <si>
    <t xml:space="preserve">NCC</t>
  </si>
  <si>
    <t xml:space="preserve">https://www.nationalchickencouncil.org/</t>
  </si>
  <si>
    <t xml:space="preserve">Poultry policy positions on inspection, trade, labor</t>
  </si>
  <si>
    <t xml:space="preserve">S108</t>
  </si>
  <si>
    <t xml:space="preserve">United Egg Producers</t>
  </si>
  <si>
    <t xml:space="preserve">UEP</t>
  </si>
  <si>
    <t xml:space="preserve">https://unitedegg.com/</t>
  </si>
  <si>
    <t xml:space="preserve">Egg policy on state cage laws, disease response, trade</t>
  </si>
  <si>
    <t xml:space="preserve">S109</t>
  </si>
  <si>
    <t xml:space="preserve">Western Growers</t>
  </si>
  <si>
    <t xml:space="preserve">https://www.wga.com/</t>
  </si>
  <si>
    <t xml:space="preserve">Produce policy on labor, water, food safety, trade</t>
  </si>
  <si>
    <t xml:space="preserve">S110</t>
  </si>
  <si>
    <t xml:space="preserve">The Fertilizer Institute</t>
  </si>
  <si>
    <t xml:space="preserve">TFI</t>
  </si>
  <si>
    <t xml:space="preserve">https://www.tfi.org/</t>
  </si>
  <si>
    <t xml:space="preserve">Fertilizer policy on trade remedies, environmental rules, energy</t>
  </si>
  <si>
    <t xml:space="preserve">S111</t>
  </si>
  <si>
    <t xml:space="preserve">American Farm Bureau Federation</t>
  </si>
  <si>
    <t xml:space="preserve">AFBF</t>
  </si>
  <si>
    <t xml:space="preserve">https://www.fb.org/</t>
  </si>
  <si>
    <t xml:space="preserve">Broad farm policy positions and market intelligence across commodities</t>
  </si>
  <si>
    <t xml:space="preserve">S112</t>
  </si>
  <si>
    <t xml:space="preserve">Agri-Pulse</t>
  </si>
  <si>
    <t xml:space="preserve">Agri-Pulse Communications</t>
  </si>
  <si>
    <t xml:space="preserve">Mixed (some paid)</t>
  </si>
  <si>
    <t xml:space="preserve">https://www.agri-pulse.com/</t>
  </si>
  <si>
    <t xml:space="preserve">Washington agriculture policy news, farm bill, trade, regulation</t>
  </si>
  <si>
    <t xml:space="preserve">Reporting; confirm access level</t>
  </si>
  <si>
    <t xml:space="preserve">S072, S057</t>
  </si>
  <si>
    <t xml:space="preserve">S113</t>
  </si>
  <si>
    <t xml:space="preserve">Hagstrom Report</t>
  </si>
  <si>
    <t xml:space="preserve">https://www.hagstromreport.com/</t>
  </si>
  <si>
    <t xml:space="preserve">Washington agriculture policy and regulatory news</t>
  </si>
  <si>
    <t xml:space="preserve">S114</t>
  </si>
  <si>
    <t xml:space="preserve">National Weather Service forecasts and alerts</t>
  </si>
  <si>
    <t xml:space="preserve">NOAA / NWS</t>
  </si>
  <si>
    <t xml:space="preserve">https://www.weather.gov/</t>
  </si>
  <si>
    <t xml:space="preserve">Short-range forecasts and severe weather, heat, freeze and flood alerts by location</t>
  </si>
  <si>
    <t xml:space="preserve">Public API; match to the farm's location</t>
  </si>
  <si>
    <t xml:space="preserve">S115</t>
  </si>
  <si>
    <t xml:space="preserve">NOAA NCEI climate data</t>
  </si>
  <si>
    <t xml:space="preserve">NOAA NCEI</t>
  </si>
  <si>
    <t xml:space="preserve">Daily / monthly</t>
  </si>
  <si>
    <t xml:space="preserve">https://www.ncei.noaa.gov/</t>
  </si>
  <si>
    <t xml:space="preserve">Historical station weather and climate normals</t>
  </si>
  <si>
    <t xml:space="preserve">Baseline for how unusual a season is</t>
  </si>
  <si>
    <t xml:space="preserve">S116</t>
  </si>
  <si>
    <t xml:space="preserve">ENSO diagnostic discussion</t>
  </si>
  <si>
    <t xml:space="preserve">NOAA CPC</t>
  </si>
  <si>
    <t xml:space="preserve">https://www.cpc.ncep.noaa.gov/products/analysis_monitoring/enso_advisory/</t>
  </si>
  <si>
    <t xml:space="preserve">El Nino and La Nina status and outlook</t>
  </si>
  <si>
    <t xml:space="preserve">Feeds the seasonal outlooks; confirm page address</t>
  </si>
  <si>
    <t xml:space="preserve">S117</t>
  </si>
  <si>
    <t xml:space="preserve">Weekly Weather and Crop Bulletin</t>
  </si>
  <si>
    <t xml:space="preserve">USDA / NOAA</t>
  </si>
  <si>
    <t xml:space="preserve">https://www.usda.gov/oce/weather</t>
  </si>
  <si>
    <t xml:space="preserve">Weekly summary of weather, crop, and drought conditions</t>
  </si>
  <si>
    <t xml:space="preserve">Repackages NOAA and NASS; confirm page address</t>
  </si>
  <si>
    <t xml:space="preserve">S064, S065, S004</t>
  </si>
  <si>
    <t xml:space="preserve">S118</t>
  </si>
  <si>
    <t xml:space="preserve">USDA Climate Hubs</t>
  </si>
  <si>
    <t xml:space="preserve">USDA</t>
  </si>
  <si>
    <t xml:space="preserve">https://www.climatehubs.usda.gov/</t>
  </si>
  <si>
    <t xml:space="preserve">Regional climate risk and adaptation guidance for producers</t>
  </si>
  <si>
    <t xml:space="preserve">Regional, practical framing</t>
  </si>
  <si>
    <t xml:space="preserve">S119</t>
  </si>
  <si>
    <t xml:space="preserve">NASA POWER agroclimatology</t>
  </si>
  <si>
    <t xml:space="preserve">NASA</t>
  </si>
  <si>
    <t xml:space="preserve">https://power.larc.nasa.gov/</t>
  </si>
  <si>
    <t xml:space="preserve">Daily temperature, rainfall, and solar data on a global grid</t>
  </si>
  <si>
    <t xml:space="preserve">Good for farm-level weather histories</t>
  </si>
  <si>
    <t xml:space="preserve">S120</t>
  </si>
  <si>
    <t xml:space="preserve">NRCS snow and climate monitoring (SNOTEL)</t>
  </si>
  <si>
    <t xml:space="preserve">Western snowpack and water supply forecasts</t>
  </si>
  <si>
    <t xml:space="preserve">Confirm the deep link to the snow survey pages</t>
  </si>
  <si>
    <t xml:space="preserve">S121</t>
  </si>
  <si>
    <t xml:space="preserve">USGS water data</t>
  </si>
  <si>
    <t xml:space="preserve">US Geological Survey</t>
  </si>
  <si>
    <t xml:space="preserve">https://waterdata.usgs.gov/</t>
  </si>
  <si>
    <t xml:space="preserve">Streamflow, reservoir, and groundwater levels</t>
  </si>
  <si>
    <t xml:space="preserve">Water supply for irrigation and livestock</t>
  </si>
  <si>
    <t xml:space="preserve">S122</t>
  </si>
  <si>
    <t xml:space="preserve">Bureau of Reclamation water supply</t>
  </si>
  <si>
    <t xml:space="preserve">US Bureau of Reclamation</t>
  </si>
  <si>
    <t xml:space="preserve">https://www.usbr.gov/</t>
  </si>
  <si>
    <t xml:space="preserve">Irrigation allocations and reservoir levels in Western basins</t>
  </si>
  <si>
    <t xml:space="preserve">Matters most for Western irrigated crops</t>
  </si>
  <si>
    <t xml:space="preserve">S123</t>
  </si>
  <si>
    <t xml:space="preserve">Iowa Environmental Mesonet</t>
  </si>
  <si>
    <t xml:space="preserve">Aggregated data</t>
  </si>
  <si>
    <t xml:space="preserve">https://mesonet.agron.iastate.edu/</t>
  </si>
  <si>
    <t xml:space="preserve">Station weather, soil temperature, and archives from many networks</t>
  </si>
  <si>
    <t xml:space="preserve">Many states run their own mesonets; check yours</t>
  </si>
  <si>
    <t xml:space="preserve">S124</t>
  </si>
  <si>
    <t xml:space="preserve">National Hurricane Center</t>
  </si>
  <si>
    <t xml:space="preserve">Continuous (season)</t>
  </si>
  <si>
    <t xml:space="preserve">https://www.nhc.noaa.gov/</t>
  </si>
  <si>
    <t xml:space="preserve">Hurricane forecasts affecting Gulf and Southeast crops and shipping</t>
  </si>
  <si>
    <t xml:space="preserve">Seasonal</t>
  </si>
  <si>
    <t xml:space="preserve">S125</t>
  </si>
  <si>
    <t xml:space="preserve">National Interagency Fire Center</t>
  </si>
  <si>
    <t xml:space="preserve">NIFC</t>
  </si>
  <si>
    <t xml:space="preserve">Daily (season)</t>
  </si>
  <si>
    <t xml:space="preserve">https://www.nifc.gov/</t>
  </si>
  <si>
    <t xml:space="preserve">Wildfire outlooks and activity affecting Western farms and ranges</t>
  </si>
  <si>
    <t xml:space="preserve">S126</t>
  </si>
  <si>
    <t xml:space="preserve">USDA drought and disaster designations</t>
  </si>
  <si>
    <t xml:space="preserve">County drought and disaster designations that unlock assistance</t>
  </si>
  <si>
    <t xml:space="preserve">Confirm the deep link; ties weather to program eligibility</t>
  </si>
  <si>
    <t xml:space="preserve">S127</t>
  </si>
  <si>
    <t xml:space="preserve">ECMWF forecasts</t>
  </si>
  <si>
    <t xml:space="preserve">Free open data / paid</t>
  </si>
  <si>
    <t xml:space="preserve">https://www.ecmwf.int/</t>
  </si>
  <si>
    <t xml:space="preserve">Global weather forecast models</t>
  </si>
  <si>
    <t xml:space="preserve">Useful for competitor and buyer regions abroad</t>
  </si>
  <si>
    <t xml:space="preserve">S128</t>
  </si>
  <si>
    <t xml:space="preserve">IPCC assessment reports</t>
  </si>
  <si>
    <t xml:space="preserve">IPCC</t>
  </si>
  <si>
    <t xml:space="preserve">https://www.ipcc.ch/</t>
  </si>
  <si>
    <t xml:space="preserve">Climate projections and impact assessments</t>
  </si>
  <si>
    <t xml:space="preserve">Slow-moving long-term source</t>
  </si>
  <si>
    <t xml:space="preserve">S129</t>
  </si>
  <si>
    <t xml:space="preserve">US National Climate Assessment</t>
  </si>
  <si>
    <t xml:space="preserve">USGCRP</t>
  </si>
  <si>
    <t xml:space="preserve">https://nca2023.globalchange.gov/</t>
  </si>
  <si>
    <t xml:space="preserve">US regional climate impacts on agriculture</t>
  </si>
  <si>
    <t xml:space="preserve">Confirm the current edition address</t>
  </si>
  <si>
    <t xml:space="preserve">S130</t>
  </si>
  <si>
    <t xml:space="preserve">IRI Climate and Society</t>
  </si>
  <si>
    <t xml:space="preserve">Columbia University</t>
  </si>
  <si>
    <t xml:space="preserve">https://iri.columbia.edu/</t>
  </si>
  <si>
    <t xml:space="preserve">Seasonal climate forecasts and ENSO analysis</t>
  </si>
  <si>
    <t xml:space="preserve">Independent seasonal view</t>
  </si>
  <si>
    <t xml:space="preserve">S131</t>
  </si>
  <si>
    <t xml:space="preserve">Commercial agronomic weather (DTN and similar)</t>
  </si>
  <si>
    <t xml:space="preserve">DTN and others</t>
  </si>
  <si>
    <t xml:space="preserve">Commercial data</t>
  </si>
  <si>
    <t xml:space="preserve">https://www.dtn.com/</t>
  </si>
  <si>
    <t xml:space="preserve">Field-level forecasts and agronomic weather tools</t>
  </si>
  <si>
    <t xml:space="preserve">Subscription; vendor choice open</t>
  </si>
  <si>
    <t xml:space="preserve">S132</t>
  </si>
  <si>
    <t xml:space="preserve">Open-Meteo</t>
  </si>
  <si>
    <t xml:space="preserve">Free API (non-commercial) / paid</t>
  </si>
  <si>
    <t xml:space="preserve">https://open-meteo.com/</t>
  </si>
  <si>
    <t xml:space="preserve">Weather forecast and history API built from national models</t>
  </si>
  <si>
    <t xml:space="preserve">Check terms for commercial use</t>
  </si>
  <si>
    <t xml:space="preserve">S133</t>
  </si>
  <si>
    <t xml:space="preserve">NOAA National Water Prediction Service</t>
  </si>
  <si>
    <t xml:space="preserve">https://water.noaa.gov/</t>
  </si>
  <si>
    <t xml:space="preserve">River levels and flood forecasts, including barge corridors</t>
  </si>
  <si>
    <t xml:space="preserve">Links weather to logistics</t>
  </si>
  <si>
    <t xml:space="preserve">S134</t>
  </si>
  <si>
    <t xml:space="preserve">ARMS farm finance and practices survey</t>
  </si>
  <si>
    <t xml:space="preserve">USDA ERS / NASS</t>
  </si>
  <si>
    <t xml:space="preserve">https://www.ers.usda.gov/data-products/arms-farm-financial-and-crop-production-practices/</t>
  </si>
  <si>
    <t xml:space="preserve">Technology adoption, practices, costs, and finances by farm type</t>
  </si>
  <si>
    <t xml:space="preserve">Also useful for Ownership and farm economy</t>
  </si>
  <si>
    <t xml:space="preserve">S135</t>
  </si>
  <si>
    <t xml:space="preserve">USDA NIFA research funding</t>
  </si>
  <si>
    <t xml:space="preserve">USDA NIFA</t>
  </si>
  <si>
    <t xml:space="preserve">https://www.nifa.usda.gov/</t>
  </si>
  <si>
    <t xml:space="preserve">Federal agricultural research funding priorities</t>
  </si>
  <si>
    <t xml:space="preserve">Early signal of future technology</t>
  </si>
  <si>
    <t xml:space="preserve">S136</t>
  </si>
  <si>
    <t xml:space="preserve">CGIAR research</t>
  </si>
  <si>
    <t xml:space="preserve">CGIAR</t>
  </si>
  <si>
    <t xml:space="preserve">https://www.cgiar.org/</t>
  </si>
  <si>
    <t xml:space="preserve">International crop, livestock, and water research</t>
  </si>
  <si>
    <t xml:space="preserve">Long-horizon</t>
  </si>
  <si>
    <t xml:space="preserve">S137</t>
  </si>
  <si>
    <t xml:space="preserve">FDA GRAS notice inventory</t>
  </si>
  <si>
    <t xml:space="preserve">https://www.fda.gov/food/generally-recognized-safe-gras/gras-notice-inventory</t>
  </si>
  <si>
    <t xml:space="preserve">Notices for new food ingredients, including fermentation-made proteins</t>
  </si>
  <si>
    <t xml:space="preserve">S138</t>
  </si>
  <si>
    <t xml:space="preserve">SEC EDGAR company filings</t>
  </si>
  <si>
    <t xml:space="preserve">US SEC</t>
  </si>
  <si>
    <t xml:space="preserve">https://www.sec.gov/edgar</t>
  </si>
  <si>
    <t xml:space="preserve">Annual reports and earnings of input suppliers, processors, and food companies</t>
  </si>
  <si>
    <t xml:space="preserve">Shows investment plans and demand commentary</t>
  </si>
  <si>
    <t xml:space="preserve">BLS Consumer Price Index (food)</t>
  </si>
  <si>
    <t xml:space="preserve">US BLS</t>
  </si>
  <si>
    <t xml:space="preserve">https://www.bls.gov/cpi/</t>
  </si>
  <si>
    <t xml:space="preserve">Food price inflation by category</t>
  </si>
  <si>
    <t xml:space="preserve">Underlies the ERS Food Price Outlook</t>
  </si>
  <si>
    <t xml:space="preserve">S140</t>
  </si>
  <si>
    <t xml:space="preserve">ERS Food Expenditure Series</t>
  </si>
  <si>
    <t xml:space="preserve">https://www.ers.usda.gov/data-products/food-expenditure-series/</t>
  </si>
  <si>
    <t xml:space="preserve">Spending on food at home and away by category</t>
  </si>
  <si>
    <t xml:space="preserve">Consumer spending base</t>
  </si>
  <si>
    <t xml:space="preserve">S141</t>
  </si>
  <si>
    <t xml:space="preserve">PubMed</t>
  </si>
  <si>
    <t xml:space="preserve">US National Library of Medicine</t>
  </si>
  <si>
    <t xml:space="preserve">Research index</t>
  </si>
  <si>
    <t xml:space="preserve">https://pubmed.ncbi.nlm.nih.gov/</t>
  </si>
  <si>
    <t xml:space="preserve">Research on diet, protein, and appetite-changing drugs</t>
  </si>
  <si>
    <t xml:space="preserve">Study quality varies; interpret with care</t>
  </si>
  <si>
    <t xml:space="preserve">S142</t>
  </si>
  <si>
    <t xml:space="preserve">UN World Population Prospects</t>
  </si>
  <si>
    <t xml:space="preserve">Every two years</t>
  </si>
  <si>
    <t xml:space="preserve">https://population.un.org/wpp/</t>
  </si>
  <si>
    <t xml:space="preserve">Population projections by country and age</t>
  </si>
  <si>
    <t xml:space="preserve">Long-run demand base</t>
  </si>
  <si>
    <t xml:space="preserve">S143</t>
  </si>
  <si>
    <t xml:space="preserve">China customs trade statistics</t>
  </si>
  <si>
    <t xml:space="preserve">China GACC</t>
  </si>
  <si>
    <t xml:space="preserve">Free web (English limited)</t>
  </si>
  <si>
    <t xml:space="preserve">http://english.customs.gov.cn/</t>
  </si>
  <si>
    <t xml:space="preserve">Chinese import volumes by product and origin</t>
  </si>
  <si>
    <t xml:space="preserve">Major buyer data; cross-check with GATS</t>
  </si>
  <si>
    <t xml:space="preserve">S144</t>
  </si>
  <si>
    <t xml:space="preserve">IFPRI research and data</t>
  </si>
  <si>
    <t xml:space="preserve">IFPRI</t>
  </si>
  <si>
    <t xml:space="preserve">https://www.ifpri.org/</t>
  </si>
  <si>
    <t xml:space="preserve">Food policy, trade, and food security analysis</t>
  </si>
  <si>
    <t xml:space="preserve">Research institute</t>
  </si>
  <si>
    <t xml:space="preserve">S145</t>
  </si>
  <si>
    <t xml:space="preserve">FAS World Markets and Trade reports</t>
  </si>
  <si>
    <t xml:space="preserve">Monthly / quarterly</t>
  </si>
  <si>
    <t xml:space="preserve">https://www.fas.usda.gov/data</t>
  </si>
  <si>
    <t xml:space="preserve">Global market analysis by commodity, including dairy, grains, and livestock</t>
  </si>
  <si>
    <t xml:space="preserve">Narrative companion to PSD; confirm report addresses</t>
  </si>
  <si>
    <t xml:space="preserve">S002, S027</t>
  </si>
  <si>
    <t xml:space="preserve">S146</t>
  </si>
  <si>
    <t xml:space="preserve">Farm Credit Administration data</t>
  </si>
  <si>
    <t xml:space="preserve">FCA</t>
  </si>
  <si>
    <t xml:space="preserve">https://www.fca.gov/</t>
  </si>
  <si>
    <t xml:space="preserve">Farm Credit System loan volumes, quality, and conditions</t>
  </si>
  <si>
    <t xml:space="preserve">Lender-side credit signal</t>
  </si>
  <si>
    <t xml:space="preserve">S147</t>
  </si>
  <si>
    <t xml:space="preserve">Farmer Mac research</t>
  </si>
  <si>
    <t xml:space="preserve">Farmer Mac</t>
  </si>
  <si>
    <t xml:space="preserve">https://www.farmermac.com/</t>
  </si>
  <si>
    <t xml:space="preserve">Ag credit and land market commentary from a lender</t>
  </si>
  <si>
    <t xml:space="preserve">Lender view; label as such</t>
  </si>
  <si>
    <t xml:space="preserve">S148</t>
  </si>
  <si>
    <t xml:space="preserve">American Farmland Trust research</t>
  </si>
  <si>
    <t xml:space="preserve">American Farmland Trust</t>
  </si>
  <si>
    <t xml:space="preserve">https://farmland.org/</t>
  </si>
  <si>
    <t xml:space="preserve">Farmland loss, conversion, and ownership research</t>
  </si>
  <si>
    <t xml:space="preserve">Advocacy organization; label as such</t>
  </si>
  <si>
    <t xml:space="preserve">S149</t>
  </si>
  <si>
    <t xml:space="preserve">FRED economic data</t>
  </si>
  <si>
    <t xml:space="preserve">Federal Reserve Bank of St. Louis</t>
  </si>
  <si>
    <t xml:space="preserve">https://fred.stlouisfed.org/</t>
  </si>
  <si>
    <t xml:space="preserve">Interest rates, inflation, exchange rates, and many economic series</t>
  </si>
  <si>
    <t xml:space="preserve">Aggregates other agencies' data</t>
  </si>
  <si>
    <t xml:space="preserve">S150</t>
  </si>
  <si>
    <t xml:space="preserve">ERS Agricultural Exchange Rate Data Set</t>
  </si>
  <si>
    <t xml:space="preserve">https://www.ers.usda.gov/data-products/agricultural-exchange-rate-data-set/</t>
  </si>
  <si>
    <t xml:space="preserve">Exchange rates weighted for agricultural competitors and buyers</t>
  </si>
  <si>
    <t xml:space="preserve">Competitiveness signal</t>
  </si>
  <si>
    <t xml:space="preserve">S151</t>
  </si>
  <si>
    <t xml:space="preserve">NASS Farm Labor survey</t>
  </si>
  <si>
    <t xml:space="preserve">https://www.nass.usda.gov/Surveys/Guide_to_NASS_Surveys/Farm_Labor/</t>
  </si>
  <si>
    <t xml:space="preserve">Farm wage rates, hours, and hired labor numbers</t>
  </si>
  <si>
    <t xml:space="preserve">Labor cost signal</t>
  </si>
  <si>
    <t xml:space="preserve">S152</t>
  </si>
  <si>
    <t xml:space="preserve">NASS Cold Storage report</t>
  </si>
  <si>
    <t xml:space="preserve">Stocks of cheese, butter, and meat in cold storage</t>
  </si>
  <si>
    <t xml:space="preserve">Inventory pressure on dairy and meat prices</t>
  </si>
  <si>
    <t xml:space="preserve">S153</t>
  </si>
  <si>
    <t xml:space="preserve">AMS hay and feedstuffs reports</t>
  </si>
  <si>
    <t xml:space="preserve">Hay and feed ingredient prices by region</t>
  </si>
  <si>
    <t xml:space="preserve">Forage cost for dairy and cattle; confirm report names</t>
  </si>
  <si>
    <t xml:space="preserve">Confirm report names and API access</t>
  </si>
  <si>
    <t xml:space="preserve">S154</t>
  </si>
  <si>
    <t xml:space="preserve">AMS Grain Transportation Report</t>
  </si>
  <si>
    <t xml:space="preserve">Logistics</t>
  </si>
  <si>
    <t xml:space="preserve">https://www.ams.usda.gov/services/transportation-analysis/gtr</t>
  </si>
  <si>
    <t xml:space="preserve">Rail, barge, truck, and ocean freight costs and conditions for grain</t>
  </si>
  <si>
    <t xml:space="preserve">Logistics cost and bottleneck signal</t>
  </si>
  <si>
    <t xml:space="preserve">S155</t>
  </si>
  <si>
    <t xml:space="preserve">EIA Short-Term Energy Outlook</t>
  </si>
  <si>
    <t xml:space="preserve">https://www.eia.gov/outlooks/steo/</t>
  </si>
  <si>
    <t xml:space="preserve">Diesel, natural gas, and electricity price outlooks</t>
  </si>
  <si>
    <t xml:space="preserve">Natural gas drives fertilizer cost</t>
  </si>
  <si>
    <t xml:space="preserve">S156</t>
  </si>
  <si>
    <t xml:space="preserve">ABARES commodity reports</t>
  </si>
  <si>
    <t xml:space="preserve">Australian Government</t>
  </si>
  <si>
    <t xml:space="preserve">https://www.agriculture.gov.au/abares</t>
  </si>
  <si>
    <t xml:space="preserve">Australian crop, livestock, and dairy outlooks</t>
  </si>
  <si>
    <t xml:space="preserve">Competitor-supply view</t>
  </si>
  <si>
    <t xml:space="preserve">S157</t>
  </si>
  <si>
    <t xml:space="preserve">EU Milk Market Observatory</t>
  </si>
  <si>
    <t xml:space="preserve">https://agriculture.ec.europa.eu/data-and-analysis/markets_en</t>
  </si>
  <si>
    <t xml:space="preserve">EU milk production, prices, and dairy trade</t>
  </si>
  <si>
    <t xml:space="preserve">Competitor-supply view for dairy</t>
  </si>
  <si>
    <t xml:space="preserve">S158</t>
  </si>
  <si>
    <t xml:space="preserve">FSIS recalls and public health alerts</t>
  </si>
  <si>
    <t xml:space="preserve">https://www.fsis.usda.gov/recalls</t>
  </si>
  <si>
    <t xml:space="preserve">Meat and poultry recalls that can hit demand and processors</t>
  </si>
  <si>
    <t xml:space="preserve">Event signal</t>
  </si>
  <si>
    <t xml:space="preserve">S159</t>
  </si>
  <si>
    <t xml:space="preserve">Driver brief: Global Affluence</t>
  </si>
  <si>
    <t xml:space="preserve">MFP / Idealyst (internal)</t>
  </si>
  <si>
    <t xml:space="preserve">Synthesis</t>
  </si>
  <si>
    <t xml:space="preserve">Synthesized brief</t>
  </si>
  <si>
    <t xml:space="preserve">Internal (MFP)</t>
  </si>
  <si>
    <t xml:space="preserve">Lay of the land on income growth, protein and food demand, and import appetite</t>
  </si>
  <si>
    <t xml:space="preserve">Retrieval tier 0; a person reviews each brief before use</t>
  </si>
  <si>
    <t xml:space="preserve">S052, S053, S013, S142, S143, S145, S048, S030</t>
  </si>
  <si>
    <t xml:space="preserve">Context (synthesized)</t>
  </si>
  <si>
    <t xml:space="preserve">All farms (by driver relevance)</t>
  </si>
  <si>
    <t xml:space="preserve">Until refreshed</t>
  </si>
  <si>
    <t xml:space="preserve">S160</t>
  </si>
  <si>
    <t xml:space="preserve">Driver brief: Geopolitics</t>
  </si>
  <si>
    <t xml:space="preserve">Monthly and on major events</t>
  </si>
  <si>
    <t xml:space="preserve">Lay of the land on trade agreements, tariffs, buyer behavior, shipping, and borders</t>
  </si>
  <si>
    <t xml:space="preserve">S054, S055, S056, S027, S097, S025, S058, S154</t>
  </si>
  <si>
    <t xml:space="preserve">S161</t>
  </si>
  <si>
    <t xml:space="preserve">Driver brief: Human Health</t>
  </si>
  <si>
    <t xml:space="preserve">Lay of the land on dietary guidance, food rules, health research, and demand shifts</t>
  </si>
  <si>
    <t xml:space="preserve">S059, S060, S061, S062, S063, S141, S010, S140</t>
  </si>
  <si>
    <t xml:space="preserve">S162</t>
  </si>
  <si>
    <t xml:space="preserve">Driver brief: Climate Volatility</t>
  </si>
  <si>
    <t xml:space="preserve">Monthly and at seasonal outlook dates</t>
  </si>
  <si>
    <t xml:space="preserve">Lay of the land on seasonal outlook, drought and water, extreme-event risk, and long-term trends</t>
  </si>
  <si>
    <t xml:space="preserve">S064, S065, S066, S067, S068, S116, S130, S128, S129, S118</t>
  </si>
  <si>
    <t xml:space="preserve">S163</t>
  </si>
  <si>
    <t xml:space="preserve">Driver brief: Technology</t>
  </si>
  <si>
    <t xml:space="preserve">Lay of the land on adoption, new products and approvals, data and automation, alternative proteins</t>
  </si>
  <si>
    <t xml:space="preserve">S069, S070, S134, S135, S137, S138, S060</t>
  </si>
  <si>
    <t xml:space="preserve">S164</t>
  </si>
  <si>
    <t xml:space="preserve">Driver brief: Ownership</t>
  </si>
  <si>
    <t xml:space="preserve">Lay of the land on land values, credit, farm structure, succession, and consolidation</t>
  </si>
  <si>
    <t xml:space="preserve">S014, S015, S016, S046, S047, S146, S149, S071, S148, S090</t>
  </si>
  <si>
    <t xml:space="preserve">S165</t>
  </si>
  <si>
    <t xml:space="preserve">MFP Future State of Ag material (Future Drivers)</t>
  </si>
  <si>
    <t xml:space="preserve">Idealyst Innovation (internal)</t>
  </si>
  <si>
    <t xml:space="preserve">Synthesized material</t>
  </si>
  <si>
    <t xml:space="preserve">Internal (Idealyst)</t>
  </si>
  <si>
    <t xml:space="preserve">Six-driver view of the future of agriculture, used as the long-term backdrop</t>
  </si>
  <si>
    <t xml:space="preserve">Retrieval tier 0; cited in MFP SWOT reports</t>
  </si>
  <si>
    <t xml:space="preserve">S166</t>
  </si>
  <si>
    <t xml:space="preserve">MFP Future State Intel Collection</t>
  </si>
  <si>
    <t xml:space="preserve">Collected intelligence on trade, policy, and market shifts behind the Future State work</t>
  </si>
  <si>
    <t xml:space="preserve">S167</t>
  </si>
  <si>
    <t xml:space="preserve">MFP Revenue Diversification library (29 paths, 9 clusters)</t>
  </si>
  <si>
    <t xml:space="preserve">Capital, time to revenue, fit, and risks for each diversification path</t>
  </si>
  <si>
    <t xml:space="preserve">Retrieval tier 0; the base for diversification-path triggers</t>
  </si>
  <si>
    <t xml:space="preserve">Diversification-path viability</t>
  </si>
  <si>
    <t xml:space="preserve">Shortlisted diversification paths</t>
  </si>
  <si>
    <t xml:space="preserve">Income Diversification</t>
  </si>
  <si>
    <t xml:space="preserve">S168</t>
  </si>
  <si>
    <t xml:space="preserve">MFP farm interviews and case notes</t>
  </si>
  <si>
    <t xml:space="preserve">Practitioner examples of what worked, used to ground SWOT items and updates</t>
  </si>
  <si>
    <t xml:space="preserve">Retrieval tier 0; anonymize before any use outside the farm</t>
  </si>
  <si>
    <t xml:space="preserve">S169</t>
  </si>
  <si>
    <t xml:space="preserve">USDA Web Soil Survey</t>
  </si>
  <si>
    <t xml:space="preserve">Operation data</t>
  </si>
  <si>
    <t xml:space="preserve">https://websoilsurvey.nrcs.usda.gov/</t>
  </si>
  <si>
    <t xml:space="preserve">Soil types and properties by location, used to prefill the lens</t>
  </si>
  <si>
    <t xml:space="preserve">The farmer confirms the proposed soil type</t>
  </si>
  <si>
    <t xml:space="preserve">Lens prefill</t>
  </si>
  <si>
    <t xml:space="preserve">Location (prefills operation characteristics)</t>
  </si>
  <si>
    <t xml:space="preserve">Records &amp; Data</t>
  </si>
  <si>
    <t xml:space="preserve">Months (refresh annually)</t>
  </si>
  <si>
    <t xml:space="preserve">S170</t>
  </si>
  <si>
    <t xml:space="preserve">CropScape (Cropland Data Layer)</t>
  </si>
  <si>
    <t xml:space="preserve">https://nassgeodata.gmu.edu/CropScape/</t>
  </si>
  <si>
    <t xml:space="preserve">Crops planted by field and year across the US, used to prefill crop history</t>
  </si>
  <si>
    <t xml:space="preserve">Confirm with the farmer</t>
  </si>
  <si>
    <t xml:space="preserve">S171</t>
  </si>
  <si>
    <t xml:space="preserve">VegScape vegetation condition</t>
  </si>
  <si>
    <t xml:space="preserve">https://nassgeodata.gmu.edu/VegScape/</t>
  </si>
  <si>
    <t xml:space="preserve">Satellite vegetation condition and drought effect by area</t>
  </si>
  <si>
    <t xml:space="preserve">Fills the satellite crop condition gap</t>
  </si>
  <si>
    <t xml:space="preserve">S172</t>
  </si>
  <si>
    <t xml:space="preserve">USDA Plant Hardiness Zone Map</t>
  </si>
  <si>
    <t xml:space="preserve">USDA ARS</t>
  </si>
  <si>
    <t xml:space="preserve">https://planthardiness.ars.usda.gov/</t>
  </si>
  <si>
    <t xml:space="preserve">Climate zone by location, used to prefill the lens</t>
  </si>
  <si>
    <t xml:space="preserve">The farmer confirms</t>
  </si>
  <si>
    <t xml:space="preserve">S173</t>
  </si>
  <si>
    <t xml:space="preserve">FEMA flood maps</t>
  </si>
  <si>
    <t xml:space="preserve">FEMA</t>
  </si>
  <si>
    <t xml:space="preserve">https://msc.fema.gov/</t>
  </si>
  <si>
    <t xml:space="preserve">Flood hazard by location, used to prefill the lens</t>
  </si>
  <si>
    <t xml:space="preserve">Confirm the current page address</t>
  </si>
  <si>
    <t xml:space="preserve">S174</t>
  </si>
  <si>
    <t xml:space="preserve">IRS Publication 225, Farmer's Tax Guide</t>
  </si>
  <si>
    <t xml:space="preserve">IRS</t>
  </si>
  <si>
    <t xml:space="preserve">https://www.irs.gov/publications/p225</t>
  </si>
  <si>
    <t xml:space="preserve">Tax treatment of farm income, equipment, and transfers</t>
  </si>
  <si>
    <t xml:space="preserve">Check the current tax year</t>
  </si>
  <si>
    <t xml:space="preserve">S175</t>
  </si>
  <si>
    <t xml:space="preserve">farmers.gov</t>
  </si>
  <si>
    <t xml:space="preserve">https://www.farmers.gov/</t>
  </si>
  <si>
    <t xml:space="preserve">Program, loan, and beginning farmer resources in one place</t>
  </si>
  <si>
    <t xml:space="preserve">Starting point for transition and entry programs</t>
  </si>
  <si>
    <t xml:space="preserve">S176</t>
  </si>
  <si>
    <t xml:space="preserve">State extension farm transition and succession programs</t>
  </si>
  <si>
    <t xml:space="preserve">State land-grant extension</t>
  </si>
  <si>
    <t xml:space="preserve">Succession planning guides, workshops, and advisors by state</t>
  </si>
  <si>
    <t xml:space="preserve">Varies by state; add the farm's state program</t>
  </si>
  <si>
    <t xml:space="preserve">S177</t>
  </si>
  <si>
    <t xml:space="preserve">Gallup National Health and Well-Being Index</t>
  </si>
  <si>
    <t xml:space="preserve">Gallup</t>
  </si>
  <si>
    <t xml:space="preserve">Survey data</t>
  </si>
  <si>
    <t xml:space="preserve">https://news.gallup.com/</t>
  </si>
  <si>
    <t xml:space="preserve">Share of adults using GLP-1 drugs and health and weight trends</t>
  </si>
  <si>
    <t xml:space="preserve">Used in the Future State update for GLP-1 adoption</t>
  </si>
  <si>
    <t xml:space="preserve">S178</t>
  </si>
  <si>
    <t xml:space="preserve">KFF health tracking polls</t>
  </si>
  <si>
    <t xml:space="preserve">KFF</t>
  </si>
  <si>
    <t xml:space="preserve">https://www.kff.org/</t>
  </si>
  <si>
    <t xml:space="preserve">Public use of and attitudes toward GLP-1 drugs and health coverage</t>
  </si>
  <si>
    <t xml:space="preserve">Cross-check against Gallup</t>
  </si>
  <si>
    <t xml:space="preserve">S179</t>
  </si>
  <si>
    <t xml:space="preserve">CMS Medicare drug pricing and coverage</t>
  </si>
  <si>
    <t xml:space="preserve">Centers for Medicare &amp; Medicaid Services</t>
  </si>
  <si>
    <t xml:space="preserve">https://www.cms.gov/</t>
  </si>
  <si>
    <t xml:space="preserve">Medicare coverage and negotiated pricing, including for weight-management drugs</t>
  </si>
  <si>
    <t xml:space="preserve">Price and coverage changes widen or narrow GLP-1 access</t>
  </si>
  <si>
    <t xml:space="preserve">S180</t>
  </si>
  <si>
    <t xml:space="preserve">Drugs@FDA approvals</t>
  </si>
  <si>
    <t xml:space="preserve">https://www.accessdata.fda.gov/scripts/cder/daf/</t>
  </si>
  <si>
    <t xml:space="preserve">New drug approvals, including oral weight-management drugs</t>
  </si>
  <si>
    <t xml:space="preserve">S181</t>
  </si>
  <si>
    <t xml:space="preserve">Organic Trade Association market reports</t>
  </si>
  <si>
    <t xml:space="preserve">Organic Trade Association</t>
  </si>
  <si>
    <t xml:space="preserve">Trade body data</t>
  </si>
  <si>
    <t xml:space="preserve">Free summary / paid report</t>
  </si>
  <si>
    <t xml:space="preserve">https://ota.com/</t>
  </si>
  <si>
    <t xml:space="preserve">Organic sales by category, growth, and projections</t>
  </si>
  <si>
    <t xml:space="preserve">Latest annual edition; label the date</t>
  </si>
  <si>
    <t xml:space="preserve">S182</t>
  </si>
  <si>
    <t xml:space="preserve">Climate Central billion-dollar disaster dataset</t>
  </si>
  <si>
    <t xml:space="preserve">Climate Central</t>
  </si>
  <si>
    <t xml:space="preserve">Compiled dataset</t>
  </si>
  <si>
    <t xml:space="preserve">Annual and mid-year</t>
  </si>
  <si>
    <t xml:space="preserve">https://www.climatecentral.org/</t>
  </si>
  <si>
    <t xml:space="preserve">Counts and costs of billion-dollar weather disasters; continues a series NOAA retired</t>
  </si>
  <si>
    <t xml:space="preserve">Replaces the retired NOAA database as the series source</t>
  </si>
  <si>
    <t xml:space="preserve">S183</t>
  </si>
  <si>
    <t xml:space="preserve">WMO Global Annual to Decadal Climate Update</t>
  </si>
  <si>
    <t xml:space="preserve">World Meteorological Organization</t>
  </si>
  <si>
    <t xml:space="preserve">https://wmo.int/</t>
  </si>
  <si>
    <t xml:space="preserve">Five-year temperature outlook and chance of exceeding warming thresholds</t>
  </si>
  <si>
    <t xml:space="preserve">Used in the Future State climate update</t>
  </si>
  <si>
    <t xml:space="preserve">S184</t>
  </si>
  <si>
    <t xml:space="preserve">NCREIF Farmland Index</t>
  </si>
  <si>
    <t xml:space="preserve">NCREIF</t>
  </si>
  <si>
    <t xml:space="preserve">Index data</t>
  </si>
  <si>
    <t xml:space="preserve">Free summary / paid data</t>
  </si>
  <si>
    <t xml:space="preserve">https://www.ncreif.org/</t>
  </si>
  <si>
    <t xml:space="preserve">Institutional farmland returns and values</t>
  </si>
  <si>
    <t xml:space="preserve">Tracks investor ownership of farmland</t>
  </si>
  <si>
    <t xml:space="preserve">S185</t>
  </si>
  <si>
    <t xml:space="preserve">Epiq AACER farm bankruptcy data</t>
  </si>
  <si>
    <t xml:space="preserve">Epiq</t>
  </si>
  <si>
    <t xml:space="preserve">Free summaries</t>
  </si>
  <si>
    <t xml:space="preserve">https://www.epiqglobal.com/</t>
  </si>
  <si>
    <t xml:space="preserve">Chapter 12 and other bankruptcy filings, including farm filings</t>
  </si>
  <si>
    <t xml:space="preserve">Early read on operator financial stress; confirm access</t>
  </si>
  <si>
    <t xml:space="preserve">S186</t>
  </si>
  <si>
    <t xml:space="preserve">World Data Lab World Consumer Outlook</t>
  </si>
  <si>
    <t xml:space="preserve">World Data Lab</t>
  </si>
  <si>
    <t xml:space="preserve">Forecast data</t>
  </si>
  <si>
    <t xml:space="preserve">https://worlddata.io/</t>
  </si>
  <si>
    <t xml:space="preserve">Forecast of consumer class growth and spending by country</t>
  </si>
  <si>
    <t xml:space="preserve">Definition of the consumer class has changed; label the threshold used</t>
  </si>
  <si>
    <t xml:space="preserve">S187</t>
  </si>
  <si>
    <t xml:space="preserve">ANEC Brazil grain exports</t>
  </si>
  <si>
    <t xml:space="preserve">ANEC (Brazil)</t>
  </si>
  <si>
    <t xml:space="preserve">https://anec.com.br/</t>
  </si>
  <si>
    <t xml:space="preserve">Brazil soybean and corn export pace and projections</t>
  </si>
  <si>
    <t xml:space="preserve">Competitor-supply view; Portuguese-language</t>
  </si>
  <si>
    <t xml:space="preserve">S188</t>
  </si>
  <si>
    <t xml:space="preserve">Bushel State of the Farm survey</t>
  </si>
  <si>
    <t xml:space="preserve">Bushel</t>
  </si>
  <si>
    <t xml:space="preserve">https://bushelpowered.com/</t>
  </si>
  <si>
    <t xml:space="preserve">Farmer technology adoption and attitudes</t>
  </si>
  <si>
    <t xml:space="preserve">Vendor survey; label as such</t>
  </si>
  <si>
    <t xml:space="preserve">MVP sources: the first 15, by build wave</t>
  </si>
  <si>
    <t xml:space="preserve">Chosen for dynamic sources and authority tier 2 where it exists. Wave is set in the Source Registry (MVP wave column); this tab reads from it.</t>
  </si>
  <si>
    <t xml:space="preserve">Wave</t>
  </si>
  <si>
    <t xml:space="preserve">Cadence</t>
  </si>
  <si>
    <t xml:space="preserve">Watch-out before building</t>
  </si>
  <si>
    <t xml:space="preserve">Summary</t>
  </si>
  <si>
    <t xml:space="preserve">Sources in the MVP</t>
  </si>
  <si>
    <t xml:space="preserve">Trigger families covered</t>
  </si>
  <si>
    <t xml:space="preserve">Not in the MVP, first to add next: WASDE (verification baseline), eggs and specialty crops (if a pilot farm needs them), credit sources, and Regulations.gov for comment dockets.</t>
  </si>
  <si>
    <t xml:space="preserve">Driver coverage: how many registered sources back each driver</t>
  </si>
  <si>
    <t xml:space="preserve">All counts are formulas over the Source Registry. Add or change rows there and these update.</t>
  </si>
  <si>
    <t xml:space="preserve">Driver</t>
  </si>
  <si>
    <t xml:space="preserve">Total sources</t>
  </si>
  <si>
    <t xml:space="preserve">Authority 1 (official)</t>
  </si>
  <si>
    <t xml:space="preserve">Authority 2 (market / trade)</t>
  </si>
  <si>
    <t xml:space="preserve">Authority 3 (analyst)</t>
  </si>
  <si>
    <t xml:space="preserve">Near-term</t>
  </si>
  <si>
    <t xml:space="preserve">Long-term</t>
  </si>
  <si>
    <t xml:space="preserve">Both horizons</t>
  </si>
  <si>
    <t xml:space="preserve">Connected or live</t>
  </si>
  <si>
    <t xml:space="preserve">% connected or live</t>
  </si>
  <si>
    <t xml:space="preserve">Total</t>
  </si>
  <si>
    <t xml:space="preserve">Check: total should equal the number of registry rows</t>
  </si>
  <si>
    <t xml:space="preserve">Coverage by commodity group</t>
  </si>
  <si>
    <t xml:space="preserve">Authority 1</t>
  </si>
  <si>
    <t xml:space="preserve">Authority 2</t>
  </si>
  <si>
    <t xml:space="preserve">Authority 3</t>
  </si>
  <si>
    <t xml:space="preserve">Price &amp; market sources</t>
  </si>
  <si>
    <t xml:space="preserve">Trade flow sources</t>
  </si>
  <si>
    <t xml:space="preserve">Analyst sources</t>
  </si>
  <si>
    <t xml:space="preserve">Policy sources</t>
  </si>
  <si>
    <t xml:space="preserve">Note: Cross-commodity sources (WASDE, PSD, GATS) cover every group, so a group with few direct rows is not necessarily thin; check its commodity-specific price and trade sources.</t>
  </si>
  <si>
    <t xml:space="preserve">Independence: how many sources are real, separate signals</t>
  </si>
  <si>
    <t xml:space="preserve">Sources</t>
  </si>
  <si>
    <t xml:space="preserve">Independent: Yes</t>
  </si>
  <si>
    <t xml:space="preserve">Registered sources</t>
  </si>
  <si>
    <t xml:space="preserve">Distinct root sources</t>
  </si>
  <si>
    <t xml:space="preserve">Sources that echo another (Independent = No)</t>
  </si>
  <si>
    <t xml:space="preserve">Share of sources that are separate roots</t>
  </si>
  <si>
    <t xml:space="preserve">Root check: are these sources really independent?</t>
  </si>
  <si>
    <t xml:space="preserve">Type up to five source IDs from the registry that support one claim (yellow cells). The sheet shows each source's root and whether it builds on the others. The three IDs shown are an example of an echo; replace them.</t>
  </si>
  <si>
    <t xml:space="preserve">Slot</t>
  </si>
  <si>
    <t xml:space="preserve">Source ID</t>
  </si>
  <si>
    <t xml:space="preserve">Root source</t>
  </si>
  <si>
    <t xml:space="preserve">Builds on another selected source</t>
  </si>
  <si>
    <t xml:space="preserve">Sources selected</t>
  </si>
  <si>
    <t xml:space="preserve">Independent roots</t>
  </si>
  <si>
    <t xml:space="preserve">Sources building on another selected</t>
  </si>
  <si>
    <t xml:space="preserve">Verdict</t>
  </si>
  <si>
    <t xml:space="preserve">Rule: report confidence from independent roots and data age, not from the number of sources that agree. Use the Verdict wording in the alert's Sources and confidence section.</t>
  </si>
  <si>
    <t xml:space="preserve">Policy map: regulatory and policy levers by commodity, and the sources that cover them</t>
  </si>
  <si>
    <t xml:space="preserve">Part 1 lists what to monitor for each commodity (planning notes from general knowledge, not current status). Part 2 checks that every commodity has federal, state and international coverage.</t>
  </si>
  <si>
    <t xml:space="preserve">Commodity</t>
  </si>
  <si>
    <t xml:space="preserve">Policy and regulatory levers to monitor</t>
  </si>
  <si>
    <t xml:space="preserve">Main agencies and bodies</t>
  </si>
  <si>
    <t xml:space="preserve">Best first sources (registry IDs)</t>
  </si>
  <si>
    <t xml:space="preserve">Federal Milk Marketing Order pricing and hearings; Dairy Margin Coverage and farm program rules; school meal, WIC and SNAP rules; export market access and tariff-rate quotas; animal disease rules; manure and methane rules; labor and immigration enforcement; state animal-welfare laws</t>
  </si>
  <si>
    <t xml:space="preserve">USDA AMS, FSA, FNS, APHIS; FDA; EPA; DOL; USTR; state legislatures</t>
  </si>
  <si>
    <t xml:space="preserve">S079, S078, S087, S083, S086, S089, S097, S054, S093, S051</t>
  </si>
  <si>
    <t xml:space="preserve">Grains and oilseeds</t>
  </si>
  <si>
    <t xml:space="preserve">ARC/PLC and crop insurance; biofuel rules and tax credits; tariffs and trade deals; pesticide and seed trait approvals; conservation program rules; water and nutrient rules</t>
  </si>
  <si>
    <t xml:space="preserve">USDA FSA, RMA, NRCS, APHIS; EPA; Treasury and IRS; USTR; Congress</t>
  </si>
  <si>
    <t xml:space="preserve">S078, S075, S037, S090, S085, S083, S088, S097, S054, S102, S103, S104</t>
  </si>
  <si>
    <t xml:space="preserve">Livestock (cattle and hogs)</t>
  </si>
  <si>
    <t xml:space="preserve">Packers and Stockyards rules; meat inspection and origin labeling; animal disease and import controls; state animal-welfare laws; export market access; environmental rules for large operations</t>
  </si>
  <si>
    <t xml:space="preserve">USDA AMS, FSIS, APHIS; EPA; USTR; state legislatures and ballot measures</t>
  </si>
  <si>
    <t xml:space="preserve">S081, S082, S083, S101, S096, S093, S086, S105, S106</t>
  </si>
  <si>
    <t xml:space="preserve">Poultry and eggs</t>
  </si>
  <si>
    <t xml:space="preserve">Avian influenza response and indemnity; inspection and line-speed rules; state cage-free laws; trade bans tied to disease; labor rules</t>
  </si>
  <si>
    <t xml:space="preserve">USDA APHIS, FSIS; state legislatures; USTR</t>
  </si>
  <si>
    <t xml:space="preserve">S083, S082, S101, S096, S093, S107, S108</t>
  </si>
  <si>
    <t xml:space="preserve">Farm labor and H-2A wage rules; produce safety and traceability; pesticide residue limits; marketing orders; import competition and trade remedies; state water and labor laws</t>
  </si>
  <si>
    <t xml:space="preserve">DOL; FDA; EPA; USDA AMS; Commerce; state legislatures</t>
  </si>
  <si>
    <t xml:space="preserve">S089, S084, S085, S080, S098, S097, S093, S109</t>
  </si>
  <si>
    <t xml:space="preserve">Inputs (fertilizer, chemicals, seed)</t>
  </si>
  <si>
    <t xml:space="preserve">Tariffs and antidumping or countervailing duties; nutrient and pesticide rules; antitrust review of input suppliers; energy policy</t>
  </si>
  <si>
    <t xml:space="preserve">Commerce; USITC; EPA; DOJ and FTC</t>
  </si>
  <si>
    <t xml:space="preserve">S098, S097, S085, S086, S071, S110</t>
  </si>
  <si>
    <t xml:space="preserve">Farm economy and ownership</t>
  </si>
  <si>
    <t xml:space="preserve">Farm bill funding and timing; tax rules for farm income, equipment and estates; credit programs; foreign and corporate land ownership laws; competition policy</t>
  </si>
  <si>
    <t xml:space="preserve">Congress; Treasury and IRS; USDA FSA; state legislatures; DOJ and FTC</t>
  </si>
  <si>
    <t xml:space="preserve">S072, S073, S075, S090, S078, S093, S095, S071</t>
  </si>
  <si>
    <t xml:space="preserve">All commodities (cross-cutting)</t>
  </si>
  <si>
    <t xml:space="preserve">Farm bill and appropriations; executive orders; court rulings; rulemaking calendar and comment periods; trade agreements</t>
  </si>
  <si>
    <t xml:space="preserve">Congress; White House OMB; federal courts; USTR</t>
  </si>
  <si>
    <t xml:space="preserve">S072, S076, S077, S057, S074, S112, S113, S095</t>
  </si>
  <si>
    <t xml:space="preserve">Part 2: Coverage matrix (Y = the source covers that commodity group)</t>
  </si>
  <si>
    <t xml:space="preserve">Jurisdiction</t>
  </si>
  <si>
    <t xml:space="preserve">International / US federal</t>
  </si>
  <si>
    <t xml:space="preserve">Y</t>
  </si>
  <si>
    <t xml:space="preserve">US federal</t>
  </si>
  <si>
    <t xml:space="preserve">US federal / advocacy</t>
  </si>
  <si>
    <t xml:space="preserve">US federal / international</t>
  </si>
  <si>
    <t xml:space="preserve">International</t>
  </si>
  <si>
    <t xml:space="preserve">US state</t>
  </si>
  <si>
    <t xml:space="preserve">US federal and state</t>
  </si>
  <si>
    <t xml:space="preserve">Total sources covering the group</t>
  </si>
  <si>
    <t xml:space="preserve">  of which US federal</t>
  </si>
  <si>
    <t xml:space="preserve">  of which US state</t>
  </si>
  <si>
    <t xml:space="preserve">  of which international</t>
  </si>
  <si>
    <t xml:space="preserve">Coverage check (federal, state and international all above zero)</t>
  </si>
  <si>
    <t xml:space="preserve">Notes: flags are judgments from general knowledge of each source's scope. Jurisdiction words match counts: a source marked 'US federal and state' counts in both rows. Cross-check scope on each source's site before relying on it.</t>
  </si>
  <si>
    <t xml:space="preserve">Policy alert rules: when a policy or regulatory item becomes an alert</t>
  </si>
  <si>
    <t xml:space="preserve">Each rule watches one stage of how a policy moves, from planned to effective. Edit the yellow thresholds; the trigger text updates. Policy and regulation is its own trigger family; each alert states a near-term and a longer-term impact, with long-term context from the driver briefs.</t>
  </si>
  <si>
    <t xml:space="preserve">Comment-deadline window (days)</t>
  </si>
  <si>
    <t xml:space="preserve">A rule moves to High urgency when its comment deadline falls inside this window</t>
  </si>
  <si>
    <t xml:space="preserve">Program-deadline window (days)</t>
  </si>
  <si>
    <t xml:space="preserve">Sign-up and program deadlines alert when this close</t>
  </si>
  <si>
    <t xml:space="preserve">Effective-date lead (days)</t>
  </si>
  <si>
    <t xml:space="preserve">Final rules alert again this many days before they take effect</t>
  </si>
  <si>
    <t xml:space="preserve">#</t>
  </si>
  <si>
    <t xml:space="preserve">Stage</t>
  </si>
  <si>
    <t xml:space="preserve">Trigger the agent watches for</t>
  </si>
  <si>
    <t xml:space="preserve">Primary source ID</t>
  </si>
  <si>
    <t xml:space="preserve">Primary source</t>
  </si>
  <si>
    <t xml:space="preserve">Also watch (IDs)</t>
  </si>
  <si>
    <t xml:space="preserve">Default urgency</t>
  </si>
  <si>
    <t xml:space="preserve">Typical lead time</t>
  </si>
  <si>
    <t xml:space="preserve">The alert must say</t>
  </si>
  <si>
    <t xml:space="preserve">Rule planned</t>
  </si>
  <si>
    <t xml:space="preserve">A rule that touches the farm's commodities appears on the Unified Agenda or goes to White House review</t>
  </si>
  <si>
    <t xml:space="preserve">S057, S076</t>
  </si>
  <si>
    <t xml:space="preserve">Watch</t>
  </si>
  <si>
    <t xml:space="preserve">Months</t>
  </si>
  <si>
    <t xml:space="preserve">Which rule, expected timing, who is affected, and what it could change</t>
  </si>
  <si>
    <t xml:space="preserve">Bill moves</t>
  </si>
  <si>
    <t xml:space="preserve">A farm bill or related bill is introduced, marked up, or passes a chamber</t>
  </si>
  <si>
    <t xml:space="preserve">S073, S074, S075</t>
  </si>
  <si>
    <t xml:space="preserve">Watch (High at markup or floor vote)</t>
  </si>
  <si>
    <t xml:space="preserve">What the bill would change for the farm's programs, income, or costs, and the next vote</t>
  </si>
  <si>
    <t xml:space="preserve">Proposed rule published</t>
  </si>
  <si>
    <t xml:space="preserve">A proposed rule is published for the farm's commodity groups</t>
  </si>
  <si>
    <t xml:space="preserve">S076, S082, S083, S085, S079</t>
  </si>
  <si>
    <t xml:space="preserve">High</t>
  </si>
  <si>
    <t xml:space="preserve">Plain-language summary of the change, comment deadline, and how to comment</t>
  </si>
  <si>
    <t xml:space="preserve">Comment period closing</t>
  </si>
  <si>
    <t xml:space="preserve">S057, S095</t>
  </si>
  <si>
    <t xml:space="preserve">Deadline, what the proposal would do to this farm, and whether to submit a comment</t>
  </si>
  <si>
    <t xml:space="preserve">Final rule or effective date</t>
  </si>
  <si>
    <t xml:space="preserve">S076, S091, S074</t>
  </si>
  <si>
    <t xml:space="preserve">Effective date, compliance steps, and cost or income effect</t>
  </si>
  <si>
    <t xml:space="preserve">Program notice or sign-up</t>
  </si>
  <si>
    <t xml:space="preserve">S088, S080, S087</t>
  </si>
  <si>
    <t xml:space="preserve">Program, eligibility, deadline, and the action required</t>
  </si>
  <si>
    <t xml:space="preserve">Pricing or marketing order decision</t>
  </si>
  <si>
    <t xml:space="preserve">A milk marketing order hearing, decision, or amendment, or a marketing order change for another commodity</t>
  </si>
  <si>
    <t xml:space="preserve">High (dairy)</t>
  </si>
  <si>
    <t xml:space="preserve">What changes in the pricing formula or program and its effect on the farm's pay price</t>
  </si>
  <si>
    <t xml:space="preserve">Trade action</t>
  </si>
  <si>
    <t xml:space="preserve">A tariff, quota, retaliation, ban, or new import rule by the US or a major buyer</t>
  </si>
  <si>
    <t xml:space="preserve">S097, S098, S056, S027</t>
  </si>
  <si>
    <t xml:space="preserve">Product, countries, effective date, and which of the farm's products or inputs are affected</t>
  </si>
  <si>
    <t xml:space="preserve">Animal or plant disease measure</t>
  </si>
  <si>
    <t xml:space="preserve">A new movement restriction, import ban, or indemnity rule tied to disease</t>
  </si>
  <si>
    <t xml:space="preserve">S101, S027</t>
  </si>
  <si>
    <t xml:space="preserve">Urgent</t>
  </si>
  <si>
    <t xml:space="preserve">Same day to days</t>
  </si>
  <si>
    <t xml:space="preserve">What is restricted, where, and what the farm should confirm now</t>
  </si>
  <si>
    <t xml:space="preserve">State bill or ballot measure</t>
  </si>
  <si>
    <t xml:space="preserve">A state bill advances or a ballot measure is certified in the farm's state or in a state of a major buyer</t>
  </si>
  <si>
    <t xml:space="preserve">S092, S096, S095</t>
  </si>
  <si>
    <t xml:space="preserve">Watch (High near a vote)</t>
  </si>
  <si>
    <t xml:space="preserve">State, bill or measure, status, and how it would change farm operations or market access</t>
  </si>
  <si>
    <t xml:space="preserve">Court ruling</t>
  </si>
  <si>
    <t xml:space="preserve">A court ruling blocks, upholds, or changes a rule or law the farm is exposed to</t>
  </si>
  <si>
    <t xml:space="preserve">S074, S057</t>
  </si>
  <si>
    <t xml:space="preserve">Days</t>
  </si>
  <si>
    <t xml:space="preserve">Which rule, what the court held, and whether the rule is in effect now</t>
  </si>
  <si>
    <t xml:space="preserve">Tax or credit guidance</t>
  </si>
  <si>
    <t xml:space="preserve">Treasury or IRS guidance on farm income, equipment, estates, or clean fuel credits</t>
  </si>
  <si>
    <t xml:space="preserve">S057, S075</t>
  </si>
  <si>
    <t xml:space="preserve">What changes, the tax year it applies to, and the farm's exposure</t>
  </si>
  <si>
    <t xml:space="preserve">Food and health policy</t>
  </si>
  <si>
    <t xml:space="preserve">Dietary guideline, nutrition program, or food rule changes that shift demand</t>
  </si>
  <si>
    <t xml:space="preserve">S059, S087, S084</t>
  </si>
  <si>
    <t xml:space="preserve">Months to years</t>
  </si>
  <si>
    <t xml:space="preserve">What demand it shifts, for which products, and how soon</t>
  </si>
  <si>
    <t xml:space="preserve">Foreign regulation</t>
  </si>
  <si>
    <t xml:space="preserve">A foreign import standard or sustainability rule that affects exports</t>
  </si>
  <si>
    <t xml:space="preserve">S100, S027</t>
  </si>
  <si>
    <t xml:space="preserve">Country, product, rule, and date it applies</t>
  </si>
  <si>
    <t xml:space="preserve">Competition action</t>
  </si>
  <si>
    <t xml:space="preserve">An antitrust or Packers and Stockyards action involving a buyer, processor, or input supplier</t>
  </si>
  <si>
    <t xml:space="preserve">Who, what is alleged or ordered, and the possible effect on the farm's buyers or costs</t>
  </si>
  <si>
    <t xml:space="preserve">Routing and quality rules</t>
  </si>
  <si>
    <t xml:space="preserve">Commodity routing</t>
  </si>
  <si>
    <t xml:space="preserve">Send an item only to farms whose commodity groups it covers, using the Policy Map coverage flags.</t>
  </si>
  <si>
    <t xml:space="preserve">Geography</t>
  </si>
  <si>
    <t xml:space="preserve">State items go to farms in that state and to farms whose major buyers are there. Federal items go to all matching farms.</t>
  </si>
  <si>
    <t xml:space="preserve">One thread per item</t>
  </si>
  <si>
    <t xml:space="preserve">A later stage updates the same alert thread (planned, proposed, final, effective) instead of creating a new alert.</t>
  </si>
  <si>
    <t xml:space="preserve">Confirm with the official record</t>
  </si>
  <si>
    <t xml:space="preserve">High and Urgent alerts need a Tier 1 source (Federal Register, agency notice, Congress.gov, court record). Items seen only in news or advocacy sources are sent as 'unconfirmed' and count as echoes in the independence check.</t>
  </si>
  <si>
    <t xml:space="preserve">Fit check</t>
  </si>
  <si>
    <t xml:space="preserve">Every alert includes Fit with this farm: strengths, values, near-term and long-term goals, and share of income affected. Low-fit items get one line in the weekly brief.</t>
  </si>
  <si>
    <t xml:space="preserve">Human review</t>
  </si>
  <si>
    <t xml:space="preserve">At launch a person reviews every Urgent alert and every High alert before it goes out.</t>
  </si>
  <si>
    <t xml:space="preserve">Uncertainty</t>
  </si>
  <si>
    <t xml:space="preserve">Say when a rule is proposed and not final, and when the outcome depends on a vote or court ruling. Do not state a probability unless a source gives one.</t>
  </si>
  <si>
    <t xml:space="preserve">Coverage checklist: what the registry should cover, and where gaps remain</t>
  </si>
  <si>
    <t xml:space="preserve">Each row is a kind of information the agent should be able to see. Source IDs are typed in; the count and status are formulas. Add IDs as you add sources. Gap = none; Thin = one.</t>
  </si>
  <si>
    <t xml:space="preserve">Covered</t>
  </si>
  <si>
    <t xml:space="preserve">Thin (one source)</t>
  </si>
  <si>
    <t xml:space="preserve">Gap (none)</t>
  </si>
  <si>
    <t xml:space="preserve">What the agent needs to see</t>
  </si>
  <si>
    <t xml:space="preserve">Why it matters</t>
  </si>
  <si>
    <t xml:space="preserve">Source IDs</t>
  </si>
  <si>
    <t xml:space="preserve">Status</t>
  </si>
  <si>
    <t xml:space="preserve">Short-range forecasts and weather alerts</t>
  </si>
  <si>
    <t xml:space="preserve">Frost, heat, storms, and planting or harvest windows</t>
  </si>
  <si>
    <t xml:space="preserve">S114, S127, S131, S132</t>
  </si>
  <si>
    <t xml:space="preserve">Seasonal outlooks</t>
  </si>
  <si>
    <t xml:space="preserve">Season-level risk to yield, forage, and heat stress</t>
  </si>
  <si>
    <t xml:space="preserve">S064, S130, S066</t>
  </si>
  <si>
    <t xml:space="preserve">Climate drivers (ENSO)</t>
  </si>
  <si>
    <t xml:space="preserve">Early read on seasonal patterns</t>
  </si>
  <si>
    <t xml:space="preserve">S116, S130</t>
  </si>
  <si>
    <t xml:space="preserve">Drought status and conditions</t>
  </si>
  <si>
    <t xml:space="preserve">Current stress on crops and pasture</t>
  </si>
  <si>
    <t xml:space="preserve">S065, S117, S004</t>
  </si>
  <si>
    <t xml:space="preserve">Historical weather and normals</t>
  </si>
  <si>
    <t xml:space="preserve">How unusual a season is</t>
  </si>
  <si>
    <t xml:space="preserve">S115, S123, S119</t>
  </si>
  <si>
    <t xml:space="preserve">Soil moisture and field-level conditions</t>
  </si>
  <si>
    <t xml:space="preserve">Planting and yield risk at the farm</t>
  </si>
  <si>
    <t xml:space="preserve">S119, S123</t>
  </si>
  <si>
    <t xml:space="preserve">Water supply, snowpack, and streamflow</t>
  </si>
  <si>
    <t xml:space="preserve">Irrigation and livestock water</t>
  </si>
  <si>
    <t xml:space="preserve">S120, S121, S122, S133</t>
  </si>
  <si>
    <t xml:space="preserve">Extreme events: hurricane, wildfire, flood</t>
  </si>
  <si>
    <t xml:space="preserve">Sudden losses and logistics disruption</t>
  </si>
  <si>
    <t xml:space="preserve">S124, S125, S133</t>
  </si>
  <si>
    <t xml:space="preserve">Long-term climate projections</t>
  </si>
  <si>
    <t xml:space="preserve">Multi-year planning</t>
  </si>
  <si>
    <t xml:space="preserve">S128, S129, S118, S066</t>
  </si>
  <si>
    <t xml:space="preserve">Crop prospects and food security abroad</t>
  </si>
  <si>
    <t xml:space="preserve">Competitor supply and buyer stress</t>
  </si>
  <si>
    <t xml:space="preserve">Insurance and disaster assistance</t>
  </si>
  <si>
    <t xml:space="preserve">Loss recovery and program eligibility</t>
  </si>
  <si>
    <t xml:space="preserve">S068, S126</t>
  </si>
  <si>
    <t xml:space="preserve">Satellite crop condition and yield estimates</t>
  </si>
  <si>
    <t xml:space="preserve">Independent yield read</t>
  </si>
  <si>
    <t xml:space="preserve">Technology adoption on farms</t>
  </si>
  <si>
    <t xml:space="preserve">What practices and tools are spreading</t>
  </si>
  <si>
    <t xml:space="preserve">Research and funding priorities</t>
  </si>
  <si>
    <t xml:space="preserve">Where future technology comes from</t>
  </si>
  <si>
    <t xml:space="preserve">S135, S136</t>
  </si>
  <si>
    <t xml:space="preserve">Patents and invention activity</t>
  </si>
  <si>
    <t xml:space="preserve">Early signal of new products</t>
  </si>
  <si>
    <t xml:space="preserve">Investment flows</t>
  </si>
  <si>
    <t xml:space="preserve">Where capital is going</t>
  </si>
  <si>
    <t xml:space="preserve">Regulatory approvals for new products</t>
  </si>
  <si>
    <t xml:space="preserve">Novel proteins, gene editing, new ingredients</t>
  </si>
  <si>
    <t xml:space="preserve">S060, S137, S083</t>
  </si>
  <si>
    <t xml:space="preserve">Company filings and earnings</t>
  </si>
  <si>
    <t xml:space="preserve">Corporate plans and demand commentary</t>
  </si>
  <si>
    <t xml:space="preserve">Income and growth by country</t>
  </si>
  <si>
    <t xml:space="preserve">Import demand strength</t>
  </si>
  <si>
    <t xml:space="preserve">S052, S053, S013</t>
  </si>
  <si>
    <t xml:space="preserve">Population projections</t>
  </si>
  <si>
    <t xml:space="preserve">Importer data (major buyers)</t>
  </si>
  <si>
    <t xml:space="preserve">Direct view of export demand</t>
  </si>
  <si>
    <t xml:space="preserve">S025, S028, S029, S143</t>
  </si>
  <si>
    <t xml:space="preserve">Currency and competitiveness</t>
  </si>
  <si>
    <t xml:space="preserve">Export price competitiveness</t>
  </si>
  <si>
    <t xml:space="preserve">S150, S149</t>
  </si>
  <si>
    <t xml:space="preserve">Consumer spending and food prices</t>
  </si>
  <si>
    <t xml:space="preserve">Domestic demand and price pressure</t>
  </si>
  <si>
    <t xml:space="preserve">S010, S139, S140, S063</t>
  </si>
  <si>
    <t xml:space="preserve">Global market analysis</t>
  </si>
  <si>
    <t xml:space="preserve">Narrative on world supply and demand</t>
  </si>
  <si>
    <t xml:space="preserve">S145, S048, S030</t>
  </si>
  <si>
    <t xml:space="preserve">Dietary guidance</t>
  </si>
  <si>
    <t xml:space="preserve">Demand shifts through programs and norms</t>
  </si>
  <si>
    <t xml:space="preserve">Food regulation and safety actions</t>
  </si>
  <si>
    <t xml:space="preserve">Labeling, ingredient, and recall effects</t>
  </si>
  <si>
    <t xml:space="preserve">S060, S158</t>
  </si>
  <si>
    <t xml:space="preserve">Health research on diet and appetite</t>
  </si>
  <si>
    <t xml:space="preserve">Long-run protein and food demand</t>
  </si>
  <si>
    <t xml:space="preserve">S141, S061</t>
  </si>
  <si>
    <t xml:space="preserve">Consumer attitudes</t>
  </si>
  <si>
    <t xml:space="preserve">Shifts in what people want</t>
  </si>
  <si>
    <t xml:space="preserve">Trade policy and agreements</t>
  </si>
  <si>
    <t xml:space="preserve">Market access</t>
  </si>
  <si>
    <t xml:space="preserve">S054, S055, S056</t>
  </si>
  <si>
    <t xml:space="preserve">Tariffs and trade remedies</t>
  </si>
  <si>
    <t xml:space="preserve">Cost and access at the border</t>
  </si>
  <si>
    <t xml:space="preserve">S097, S098</t>
  </si>
  <si>
    <t xml:space="preserve">Foreign import rules and standards</t>
  </si>
  <si>
    <t xml:space="preserve">Export eligibility</t>
  </si>
  <si>
    <t xml:space="preserve">S027, S099, S100</t>
  </si>
  <si>
    <t xml:space="preserve">Conflict and disruption</t>
  </si>
  <si>
    <t xml:space="preserve">Shipping, supply, and sanctions</t>
  </si>
  <si>
    <t xml:space="preserve">Animal and plant disease at the border</t>
  </si>
  <si>
    <t xml:space="preserve">Trade bans and movement rules</t>
  </si>
  <si>
    <t xml:space="preserve">S083, S101</t>
  </si>
  <si>
    <t xml:space="preserve">Freight and logistics</t>
  </si>
  <si>
    <t xml:space="preserve">Ocean, rail, barge cost and bottlenecks</t>
  </si>
  <si>
    <t xml:space="preserve">Trigger: Policy and regulation</t>
  </si>
  <si>
    <t xml:space="preserve">Legislation (federal)</t>
  </si>
  <si>
    <t xml:space="preserve">Farm bill and related laws</t>
  </si>
  <si>
    <t xml:space="preserve">S072, S073, S074, S075</t>
  </si>
  <si>
    <t xml:space="preserve">Rulemaking and comment periods</t>
  </si>
  <si>
    <t xml:space="preserve">Rules that change costs and access</t>
  </si>
  <si>
    <t xml:space="preserve">S057, S076, S077</t>
  </si>
  <si>
    <t xml:space="preserve">Program rules and sign-ups</t>
  </si>
  <si>
    <t xml:space="preserve">Payments, margin coverage, conservation</t>
  </si>
  <si>
    <t xml:space="preserve">S078, S088, S080, S079</t>
  </si>
  <si>
    <t xml:space="preserve">State policy and ballot measures</t>
  </si>
  <si>
    <t xml:space="preserve">State law and animal-welfare rules</t>
  </si>
  <si>
    <t xml:space="preserve">S093, S092, S096</t>
  </si>
  <si>
    <t xml:space="preserve">Courts and litigation</t>
  </si>
  <si>
    <t xml:space="preserve">Rulings that block or uphold rules</t>
  </si>
  <si>
    <t xml:space="preserve">Tax and credit guidance</t>
  </si>
  <si>
    <t xml:space="preserve">Farm income, equipment, estates, clean fuel credits</t>
  </si>
  <si>
    <t xml:space="preserve">Environmental and labor rules</t>
  </si>
  <si>
    <t xml:space="preserve">Compliance costs</t>
  </si>
  <si>
    <t xml:space="preserve">S086, S085, S089</t>
  </si>
  <si>
    <t xml:space="preserve">Land values and rents</t>
  </si>
  <si>
    <t xml:space="preserve">Asset side of the balance sheet</t>
  </si>
  <si>
    <t xml:space="preserve">Credit conditions and interest rates</t>
  </si>
  <si>
    <t xml:space="preserve">Borrowing cost and access</t>
  </si>
  <si>
    <t xml:space="preserve">S046, S047, S146, S149, S147</t>
  </si>
  <si>
    <t xml:space="preserve">Farm structure and succession</t>
  </si>
  <si>
    <t xml:space="preserve">Who owns and runs farms</t>
  </si>
  <si>
    <t xml:space="preserve">S014, S134, S148</t>
  </si>
  <si>
    <t xml:space="preserve">Foreign and corporate ownership</t>
  </si>
  <si>
    <t xml:space="preserve">Land and market control</t>
  </si>
  <si>
    <t xml:space="preserve">Competition and market power</t>
  </si>
  <si>
    <t xml:space="preserve">Buyer and supplier concentration</t>
  </si>
  <si>
    <t xml:space="preserve">S071, S081</t>
  </si>
  <si>
    <t xml:space="preserve">Supply and demand balance sheets</t>
  </si>
  <si>
    <t xml:space="preserve">Core supply, use, and stocks</t>
  </si>
  <si>
    <t xml:space="preserve">S001, S002, S003</t>
  </si>
  <si>
    <t xml:space="preserve">Commodity production statistics</t>
  </si>
  <si>
    <t xml:space="preserve">Output, inventories, yields</t>
  </si>
  <si>
    <t xml:space="preserve">S004, S005, S006, S152</t>
  </si>
  <si>
    <t xml:space="preserve">Cash and spot prices</t>
  </si>
  <si>
    <t xml:space="preserve">Current prices by commodity</t>
  </si>
  <si>
    <t xml:space="preserve">S017, S018, S019, S020, S153</t>
  </si>
  <si>
    <t xml:space="preserve">Futures and forward curves</t>
  </si>
  <si>
    <t xml:space="preserve">Market expectations</t>
  </si>
  <si>
    <t xml:space="preserve">S022, S023, S024</t>
  </si>
  <si>
    <t xml:space="preserve">Input prices</t>
  </si>
  <si>
    <t xml:space="preserve">Fertilizer, fuel, and feed costs</t>
  </si>
  <si>
    <t xml:space="preserve">S021, S041, S042, S155</t>
  </si>
  <si>
    <t xml:space="preserve">Competitor supply</t>
  </si>
  <si>
    <t xml:space="preserve">What other exporters will supply</t>
  </si>
  <si>
    <t xml:space="preserve">S038, S039, S156, S157</t>
  </si>
  <si>
    <t xml:space="preserve">Labor</t>
  </si>
  <si>
    <t xml:space="preserve">Farm wage and labor supply</t>
  </si>
  <si>
    <t xml:space="preserve">S151, S089</t>
  </si>
  <si>
    <t xml:space="preserve">Local buyer and processor pay prices</t>
  </si>
  <si>
    <t xml:space="preserve">The farm's own price, not a regional average</t>
  </si>
  <si>
    <t xml:space="preserve">Retail and farm-input local prices</t>
  </si>
  <si>
    <t xml:space="preserve">Prices the farm actually pays</t>
  </si>
  <si>
    <t xml:space="preserve">Lens</t>
  </si>
  <si>
    <t xml:space="preserve">Operation characteristics by location (soil, crop history, climate zone, flood risk)</t>
  </si>
  <si>
    <t xml:space="preserve">Prefills the strategic lens for any farm</t>
  </si>
  <si>
    <t xml:space="preserve">S169, S170, S172, S173</t>
  </si>
  <si>
    <t xml:space="preserve">Legacy</t>
  </si>
  <si>
    <t xml:space="preserve">Succession, transfer, and beginning-farmer resources</t>
  </si>
  <si>
    <t xml:space="preserve">Legacy is the ultimate aim for most family farms</t>
  </si>
  <si>
    <t xml:space="preserve">S174, S175, S176, S014, S095, S078</t>
  </si>
  <si>
    <t xml:space="preserve">Tier 0</t>
  </si>
  <si>
    <t xml:space="preserve">Synthesized house context (driver briefs and Future State material)</t>
  </si>
  <si>
    <t xml:space="preserve">The lay of the land every update reads first</t>
  </si>
  <si>
    <t xml:space="preserve">S159, S160, S161, S162, S163, S164, S165, S166</t>
  </si>
  <si>
    <t xml:space="preserve">Diversification path library and case examples</t>
  </si>
  <si>
    <t xml:space="preserve">Base for diversification-path triggers</t>
  </si>
  <si>
    <t xml:space="preserve">S167, S168</t>
  </si>
  <si>
    <t xml:space="preserve">GLP-1 adoption, access, and pricing</t>
  </si>
  <si>
    <t xml:space="preserve">Central thread for Human Health</t>
  </si>
  <si>
    <t xml:space="preserve">S177, S178, S179, S180, S141</t>
  </si>
  <si>
    <t xml:space="preserve">Premium, organic, and whole-food demand</t>
  </si>
  <si>
    <t xml:space="preserve">Where health-driven spending is going</t>
  </si>
  <si>
    <t xml:space="preserve">S181, S063, S140</t>
  </si>
  <si>
    <t xml:space="preserve">Disaster loss tracking and decadal warming outlooks</t>
  </si>
  <si>
    <t xml:space="preserve">Who bears weather losses and how fast risk is rising</t>
  </si>
  <si>
    <t xml:space="preserve">S182, S183, S068</t>
  </si>
  <si>
    <t xml:space="preserve">Investor ownership and operator financial stress</t>
  </si>
  <si>
    <t xml:space="preserve">The owner and operator gap</t>
  </si>
  <si>
    <t xml:space="preserve">S184, S185, S015, S046, S146</t>
  </si>
  <si>
    <t xml:space="preserve">Consumer class growth forecasts</t>
  </si>
  <si>
    <t xml:space="preserve">Pace and location of new demand</t>
  </si>
  <si>
    <t xml:space="preserve">S186, S052, S142</t>
  </si>
  <si>
    <t xml:space="preserve">Farm technology adoption surveys</t>
  </si>
  <si>
    <t xml:space="preserve">Proven return versus hype</t>
  </si>
  <si>
    <t xml:space="preserve">S188, S045, S134</t>
  </si>
  <si>
    <t xml:space="preserve">Competitor export pace (Brazil)</t>
  </si>
  <si>
    <t xml:space="preserve">Share lost or gained by U.S. exporters</t>
  </si>
  <si>
    <t xml:space="preserve">S187, S038, S026</t>
  </si>
  <si>
    <t xml:space="preserve">Lens to sources: how a farm's strategic lens selects its watch list</t>
  </si>
  <si>
    <t xml:space="preserve">The Lens Agent builds each farm's watch profile from the lens, usually 15 to 25 sources. It starts with retrieval tier 0, then tier 1, and adds tier 2 detection feeds for the farm's triggers.</t>
  </si>
  <si>
    <t xml:space="preserve">Lens element</t>
  </si>
  <si>
    <t xml:space="preserve">What it selects</t>
  </si>
  <si>
    <t xml:space="preserve">How the registry is filtered</t>
  </si>
  <si>
    <t xml:space="preserve">Example registry IDs</t>
  </si>
  <si>
    <t xml:space="preserve">Commodity sources and price and input triggers</t>
  </si>
  <si>
    <t xml:space="preserve">Commodity group matches an enterprise; trigger family Price and market or Input cost</t>
  </si>
  <si>
    <t xml:space="preserve">S017, S022, S023, S005, S153</t>
  </si>
  <si>
    <t xml:space="preserve">Location (state and county)</t>
  </si>
  <si>
    <t xml:space="preserve">Regional weather, state policy, local prices</t>
  </si>
  <si>
    <t xml:space="preserve">Lens selector names Location; trigger family Weather and climate; state policy sources</t>
  </si>
  <si>
    <t xml:space="preserve">S065, S114, S093, S092</t>
  </si>
  <si>
    <t xml:space="preserve">Operation characteristics (soil, water, climate zone)</t>
  </si>
  <si>
    <t xml:space="preserve">Agronomic and water sources; lens prefill</t>
  </si>
  <si>
    <t xml:space="preserve">System role Lens prefill; trigger family Weather and climate</t>
  </si>
  <si>
    <t xml:space="preserve">S169, S172, S121, S120</t>
  </si>
  <si>
    <t xml:space="preserve">Size class</t>
  </si>
  <si>
    <t xml:space="preserve">Fit-appropriate paths and programs</t>
  </si>
  <si>
    <t xml:space="preserve">Diversification library; program sources</t>
  </si>
  <si>
    <t xml:space="preserve">S167, S175, S078</t>
  </si>
  <si>
    <t xml:space="preserve">Goals, advantage, and values</t>
  </si>
  <si>
    <t xml:space="preserve">Priority weights for triggers and framing for updates</t>
  </si>
  <si>
    <t xml:space="preserve">Trigger families tied to the goal topic</t>
  </si>
  <si>
    <t xml:space="preserve">Varies by farm</t>
  </si>
  <si>
    <t xml:space="preserve">Legacy intent</t>
  </si>
  <si>
    <t xml:space="preserve">Succession, tax, land, and credit sources</t>
  </si>
  <si>
    <t xml:space="preserve">Trigger families Land and ownership, Credit and finance, and Policy and regulation (tax)</t>
  </si>
  <si>
    <t xml:space="preserve">S174, S175, S176, S014, S015, S046</t>
  </si>
  <si>
    <t xml:space="preserve">MFP priority areas (completed farms)</t>
  </si>
  <si>
    <t xml:space="preserve">Source topics by dimension</t>
  </si>
  <si>
    <t xml:space="preserve">MFP dimension served column (table below)</t>
  </si>
  <si>
    <t xml:space="preserve">See table below</t>
  </si>
  <si>
    <t xml:space="preserve">MFP SWOT threats and opportunities</t>
  </si>
  <si>
    <t xml:space="preserve">Watch topics</t>
  </si>
  <si>
    <t xml:space="preserve">Trigger family named by the SWOT item</t>
  </si>
  <si>
    <t xml:space="preserve">S054, S097, S025, S098</t>
  </si>
  <si>
    <t xml:space="preserve">Farmer requests</t>
  </si>
  <si>
    <t xml:space="preserve">Added sources or topics</t>
  </si>
  <si>
    <t xml:space="preserve">Added by hand</t>
  </si>
  <si>
    <t xml:space="preserve">MFP dimension to trigger families</t>
  </si>
  <si>
    <t xml:space="preserve">MFP dimension</t>
  </si>
  <si>
    <t xml:space="preserve">Trigger families and source groups that help</t>
  </si>
  <si>
    <t xml:space="preserve">Registry sources serving it</t>
  </si>
  <si>
    <t xml:space="preserve">Financial Analysis</t>
  </si>
  <si>
    <t xml:space="preserve">Input cost, Credit and finance, Land and ownership</t>
  </si>
  <si>
    <t xml:space="preserve">Price and market, Trade and geopolitics, context sources</t>
  </si>
  <si>
    <t xml:space="preserve">Policy and regulation, Diversification-path viability</t>
  </si>
  <si>
    <t xml:space="preserve">Competitive Advantage</t>
  </si>
  <si>
    <t xml:space="preserve">Adoption &amp; Efficiency</t>
  </si>
  <si>
    <t xml:space="preserve">Input cost, Technology and structure</t>
  </si>
  <si>
    <t xml:space="preserve">Weather and climate, Disease and border, Policy and regulation, Credit and finance</t>
  </si>
  <si>
    <t xml:space="preserve">Succession</t>
  </si>
  <si>
    <t xml:space="preserve">Land and ownership, with legacy and tax sources</t>
  </si>
  <si>
    <t xml:space="preserve">Strategic Vision</t>
  </si>
  <si>
    <t xml:space="preserve">Context sources and the driver briefs</t>
  </si>
  <si>
    <t xml:space="preserve">Lens prefill sources</t>
  </si>
  <si>
    <t xml:space="preserve">Trigger map: the fast layer that starts updates</t>
  </si>
  <si>
    <t xml:space="preserve">Drivers are the slower backdrop. Triggers are the dynamic changes that start an update, and each carries a near-term and a longer-term impact. Counts are formulas over the Source Registry.</t>
  </si>
  <si>
    <t xml:space="preserve">Examples</t>
  </si>
  <si>
    <t xml:space="preserve">Detection feeds</t>
  </si>
  <si>
    <t xml:space="preserve">Context sources</t>
  </si>
  <si>
    <t xml:space="preserve">Matched to the farm by</t>
  </si>
  <si>
    <t xml:space="preserve">Commodity or product price move, futures curve shape, margin spread, basis</t>
  </si>
  <si>
    <t xml:space="preserve">Fertilizer, feed, hay, fuel, energy outlook</t>
  </si>
  <si>
    <t xml:space="preserve">A rule planned, proposed, in comment, final, or effective; a bill moving; a program sign-up; a court ruling; a state law; tax guidance</t>
  </si>
  <si>
    <t xml:space="preserve">Tariff, quota, ban, buyer review, shipping disruption, foreign import rule</t>
  </si>
  <si>
    <t xml:space="preserve">Seasonal outlook shift, drought change, extreme-event forecast, water supply</t>
  </si>
  <si>
    <t xml:space="preserve">Detection nearby, movement rules, import bans</t>
  </si>
  <si>
    <t xml:space="preserve">Lender behavior, rates, credit conditions, farm income outlook</t>
  </si>
  <si>
    <t xml:space="preserve">Product approvals, new entrants, competitor or buyer moves, antitrust action</t>
  </si>
  <si>
    <t xml:space="preserve">Land value or rent shift, program funding, foreign ownership rules, succession resources</t>
  </si>
  <si>
    <t xml:space="preserve">A program opens or closes, a bill passes, an energy developer moves into a county, a payment changes</t>
  </si>
  <si>
    <t xml:space="preserve">MFP events</t>
  </si>
  <si>
    <t xml:space="preserve">New assessment or SWOT, action plan milestone due, annual review, succession plan milestone</t>
  </si>
  <si>
    <t xml:space="preserve">The farm's MFP record</t>
  </si>
  <si>
    <t xml:space="preserve">All dimensions</t>
  </si>
  <si>
    <t xml:space="preserve">Balance sheets, outlooks, and analysis that explain a trigger but do not fire one</t>
  </si>
  <si>
    <t xml:space="preserve">Sources by retrieval tier and system role</t>
  </si>
  <si>
    <t xml:space="preserve">Item</t>
  </si>
  <si>
    <t xml:space="preserve">Retrieval tier 0 (synthesized house sources)</t>
  </si>
  <si>
    <t xml:space="preserve">Retrieval tier 1 (curated secondary)</t>
  </si>
  <si>
    <t xml:space="preserve">Retrieval tier 2 (primary data)</t>
  </si>
  <si>
    <t xml:space="preserve">Role: Detection feed</t>
  </si>
  <si>
    <t xml:space="preserve">Role: Context</t>
  </si>
  <si>
    <t xml:space="preserve">Role: Context (synthesized)</t>
  </si>
  <si>
    <t xml:space="preserve">Role: Fetch and verify</t>
  </si>
  <si>
    <t xml:space="preserve">Role: Lens prefill</t>
  </si>
  <si>
    <t xml:space="preserve">Agents look in tier order: 0, then 1, then 2. Tier 2 is used only to fetch a current value, fill a gap, or verify a number that will drive a headline.</t>
  </si>
  <si>
    <t xml:space="preserve">Commodity nodes: upstream drivers, co-products and downstream demand</t>
  </si>
  <si>
    <t xml:space="preserve">Starting map for each commodity. Edit freely; these are planning notes from general industry knowledge, not sourced statistics.</t>
  </si>
  <si>
    <t xml:space="preserve">Upstream drivers</t>
  </si>
  <si>
    <t xml:space="preserve">Co-products and derivatives to track</t>
  </si>
  <si>
    <t xml:space="preserve">Downstream demand and trade</t>
  </si>
  <si>
    <t xml:space="preserve">Best first sources (see Registry)</t>
  </si>
  <si>
    <t xml:space="preserve">Milk and dairy</t>
  </si>
  <si>
    <t xml:space="preserve">Feed (corn, soy meal, alfalfa), energy, labor, heat stress, herd size</t>
  </si>
  <si>
    <t xml:space="preserve">Whey, WPC34/WPC80, WPI, lactose, butterfat, cheese, nonfat dry milk, casein</t>
  </si>
  <si>
    <t xml:space="preserve">Cheese and ingredient plants, sports nutrition, infant formula, exports</t>
  </si>
  <si>
    <t xml:space="preserve">AMS Dairy Market News; NASS Milk Production; CME dairy; GDT; GATS; USDEC</t>
  </si>
  <si>
    <t xml:space="preserve">Corn</t>
  </si>
  <si>
    <t xml:space="preserve">Nitrogen fertilizer, natural gas, weather, land rent, interest rates</t>
  </si>
  <si>
    <t xml:space="preserve">Ethanol, DDGS, corn oil, corn gluten feed, high-fructose corn syrup</t>
  </si>
  <si>
    <t xml:space="preserve">Livestock feed, ethanol plants, exports</t>
  </si>
  <si>
    <t xml:space="preserve">WASDE; NASS Crop Progress; EIA ethanol; Export Sales; CONAB</t>
  </si>
  <si>
    <t xml:space="preserve">Soybeans</t>
  </si>
  <si>
    <t xml:space="preserve">Phosphate and potash, weather, seed and chemical costs</t>
  </si>
  <si>
    <t xml:space="preserve">Soybean meal, soybean oil, hulls</t>
  </si>
  <si>
    <t xml:space="preserve">Feed, crushers, renewable diesel and biofuel policy, exports</t>
  </si>
  <si>
    <t xml:space="preserve">WASDE; NOPA; Export Sales; EPA RFS; CONAB</t>
  </si>
  <si>
    <t xml:space="preserve">Wheat</t>
  </si>
  <si>
    <t xml:space="preserve">Weather, fertilizer, energy, competitor crops</t>
  </si>
  <si>
    <t xml:space="preserve">Flour, bran, middlings</t>
  </si>
  <si>
    <t xml:space="preserve">Millers, exports, competing exporter supply</t>
  </si>
  <si>
    <t xml:space="preserve">WASDE; PSD; Export Sales; FAS GAIN</t>
  </si>
  <si>
    <t xml:space="preserve">Cattle and beef</t>
  </si>
  <si>
    <t xml:space="preserve">Feed cost, pasture and drought, interest rates, herd rebuilding, imports</t>
  </si>
  <si>
    <t xml:space="preserve">Hides, tallow, variety meats, boxed beef cuts</t>
  </si>
  <si>
    <t xml:space="preserve">Packers, retail and foodservice, exports</t>
  </si>
  <si>
    <t xml:space="preserve">NASS Cattle; AMS Livestock; CME; APHIS; LMIC / CattleFax</t>
  </si>
  <si>
    <t xml:space="preserve">Hogs and pork</t>
  </si>
  <si>
    <t xml:space="preserve">Feed cost, disease risk, regulation</t>
  </si>
  <si>
    <t xml:space="preserve">Variety meats, lard</t>
  </si>
  <si>
    <t xml:space="preserve">Packers, exports, foodservice</t>
  </si>
  <si>
    <t xml:space="preserve">NASS Hogs and Pigs; AMS Livestock; GATS; APHIS</t>
  </si>
  <si>
    <t xml:space="preserve">Feed cost, avian influenza, energy</t>
  </si>
  <si>
    <t xml:space="preserve">Eggs and egg products, parts and variety cuts</t>
  </si>
  <si>
    <t xml:space="preserve">Retail, foodservice, exports</t>
  </si>
  <si>
    <t xml:space="preserve">AMS Egg Markets Overview; APHIS; WASDE</t>
  </si>
  <si>
    <t xml:space="preserve">Labor and visas, water, weather, tariffs, input costs</t>
  </si>
  <si>
    <t xml:space="preserve">Processed, dried, juice and frozen products</t>
  </si>
  <si>
    <t xml:space="preserve">Retail, processors, import competition, exports</t>
  </si>
  <si>
    <t xml:space="preserve">AMS Specialty Crops Market News; ERS outlooks; Census trade</t>
  </si>
  <si>
    <t xml:space="preserve">Fertilizer and farm inputs</t>
  </si>
  <si>
    <t xml:space="preserve">Natural gas, phosphate and potash trade, export policy, freight</t>
  </si>
  <si>
    <t xml:space="preserve">Nitrogen, phosphate, potash blends</t>
  </si>
  <si>
    <t xml:space="preserve">Cost of production across all crops</t>
  </si>
  <si>
    <t xml:space="preserve">DTN; AMS fertilizer reports; World Bank Pink Sheet; GATS</t>
  </si>
</sst>
</file>

<file path=xl/styles.xml><?xml version="1.0" encoding="utf-8"?>
<styleSheet xmlns="http://schemas.openxmlformats.org/spreadsheetml/2006/main">
  <numFmts count="3">
    <numFmt numFmtId="164" formatCode="General"/>
    <numFmt numFmtId="165" formatCode="General"/>
    <numFmt numFmtId="166" formatCode="0%"/>
  </numFmts>
  <fonts count="10">
    <font>
      <sz val="11"/>
      <color theme="1"/>
      <name val="Calibri"/>
      <family val="2"/>
      <charset val="1"/>
    </font>
    <font>
      <sz val="10"/>
      <name val="Arial"/>
      <family val="0"/>
    </font>
    <font>
      <sz val="10"/>
      <name val="Arial"/>
      <family val="0"/>
    </font>
    <font>
      <sz val="10"/>
      <name val="Arial"/>
      <family val="0"/>
    </font>
    <font>
      <b val="true"/>
      <sz val="14"/>
      <color rgb="FF1F3A2E"/>
      <name val="Arial"/>
      <family val="0"/>
      <charset val="1"/>
    </font>
    <font>
      <b val="true"/>
      <sz val="10"/>
      <name val="Arial"/>
      <family val="0"/>
      <charset val="1"/>
    </font>
    <font>
      <sz val="10"/>
      <name val="Arial"/>
      <family val="0"/>
      <charset val="1"/>
    </font>
    <font>
      <b val="true"/>
      <sz val="10"/>
      <color rgb="FFFFFFFF"/>
      <name val="Arial"/>
      <family val="0"/>
      <charset val="1"/>
    </font>
    <font>
      <u val="single"/>
      <sz val="10"/>
      <color rgb="FF0563C1"/>
      <name val="Arial"/>
      <family val="0"/>
      <charset val="1"/>
    </font>
    <font>
      <sz val="10"/>
      <color rgb="FF0000FF"/>
      <name val="Arial"/>
      <family val="0"/>
      <charset val="1"/>
    </font>
  </fonts>
  <fills count="4">
    <fill>
      <patternFill patternType="none"/>
    </fill>
    <fill>
      <patternFill patternType="gray125"/>
    </fill>
    <fill>
      <patternFill patternType="solid">
        <fgColor rgb="FF1F3A2E"/>
        <bgColor rgb="FF333300"/>
      </patternFill>
    </fill>
    <fill>
      <patternFill patternType="solid">
        <fgColor rgb="FFFFFF99"/>
        <bgColor rgb="FFFFFFCC"/>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2E"/>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FFFF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usda.gov/oce/commodity/wasde" TargetMode="External"/><Relationship Id="rId2" Type="http://schemas.openxmlformats.org/officeDocument/2006/relationships/hyperlink" Target="https://apps.fas.usda.gov/psdonline/" TargetMode="External"/><Relationship Id="rId3" Type="http://schemas.openxmlformats.org/officeDocument/2006/relationships/hyperlink" Target="https://quickstats.nass.usda.gov/" TargetMode="External"/><Relationship Id="rId4" Type="http://schemas.openxmlformats.org/officeDocument/2006/relationships/hyperlink" Target="https://www.nass.usda.gov/Publications/" TargetMode="External"/><Relationship Id="rId5" Type="http://schemas.openxmlformats.org/officeDocument/2006/relationships/hyperlink" Target="https://www.nass.usda.gov/Publications/" TargetMode="External"/><Relationship Id="rId6" Type="http://schemas.openxmlformats.org/officeDocument/2006/relationships/hyperlink" Target="https://www.nass.usda.gov/Publications/" TargetMode="External"/><Relationship Id="rId7" Type="http://schemas.openxmlformats.org/officeDocument/2006/relationships/hyperlink" Target="https://www.ers.usda.gov/topics/animal-products/dairy/" TargetMode="External"/><Relationship Id="rId8" Type="http://schemas.openxmlformats.org/officeDocument/2006/relationships/hyperlink" Target="https://www.ers.usda.gov/topics/crops/" TargetMode="External"/><Relationship Id="rId9" Type="http://schemas.openxmlformats.org/officeDocument/2006/relationships/hyperlink" Target="https://www.ers.usda.gov/topics/crops/" TargetMode="External"/><Relationship Id="rId10" Type="http://schemas.openxmlformats.org/officeDocument/2006/relationships/hyperlink" Target="https://www.ers.usda.gov/data-products/food-price-outlook/" TargetMode="External"/><Relationship Id="rId11" Type="http://schemas.openxmlformats.org/officeDocument/2006/relationships/hyperlink" Target="https://www.ers.usda.gov/data-products/food-availability-per-capita-data-system/" TargetMode="External"/><Relationship Id="rId12" Type="http://schemas.openxmlformats.org/officeDocument/2006/relationships/hyperlink" Target="https://www.ers.usda.gov/data-products/farm-income-and-wealth-statistics/" TargetMode="External"/><Relationship Id="rId13" Type="http://schemas.openxmlformats.org/officeDocument/2006/relationships/hyperlink" Target="https://www.ers.usda.gov/data-products/international-macroeconomic-data-set/" TargetMode="External"/><Relationship Id="rId14" Type="http://schemas.openxmlformats.org/officeDocument/2006/relationships/hyperlink" Target="https://www.nass.usda.gov/AgCensus/" TargetMode="External"/><Relationship Id="rId15" Type="http://schemas.openxmlformats.org/officeDocument/2006/relationships/hyperlink" Target="https://www.nass.usda.gov/Publications/" TargetMode="External"/><Relationship Id="rId16" Type="http://schemas.openxmlformats.org/officeDocument/2006/relationships/hyperlink" Target="https://www.fsa.usda.gov/" TargetMode="External"/><Relationship Id="rId17" Type="http://schemas.openxmlformats.org/officeDocument/2006/relationships/hyperlink" Target="https://www.ams.usda.gov/market-news/dairy-market-news" TargetMode="External"/><Relationship Id="rId18" Type="http://schemas.openxmlformats.org/officeDocument/2006/relationships/hyperlink" Target="https://www.ams.usda.gov/market-news" TargetMode="External"/><Relationship Id="rId19" Type="http://schemas.openxmlformats.org/officeDocument/2006/relationships/hyperlink" Target="https://www.ams.usda.gov/market-news" TargetMode="External"/><Relationship Id="rId20" Type="http://schemas.openxmlformats.org/officeDocument/2006/relationships/hyperlink" Target="https://www.ams.usda.gov/market-news" TargetMode="External"/><Relationship Id="rId21" Type="http://schemas.openxmlformats.org/officeDocument/2006/relationships/hyperlink" Target="https://www.ams.usda.gov/market-news" TargetMode="External"/><Relationship Id="rId22" Type="http://schemas.openxmlformats.org/officeDocument/2006/relationships/hyperlink" Target="https://www.cmegroup.com/markets/agriculture.html" TargetMode="External"/><Relationship Id="rId23" Type="http://schemas.openxmlformats.org/officeDocument/2006/relationships/hyperlink" Target="https://www.cmegroup.com/markets/agriculture.html" TargetMode="External"/><Relationship Id="rId24" Type="http://schemas.openxmlformats.org/officeDocument/2006/relationships/hyperlink" Target="https://www.globaldairytrade.info/" TargetMode="External"/><Relationship Id="rId25" Type="http://schemas.openxmlformats.org/officeDocument/2006/relationships/hyperlink" Target="https://apps.fas.usda.gov/gats/" TargetMode="External"/><Relationship Id="rId26" Type="http://schemas.openxmlformats.org/officeDocument/2006/relationships/hyperlink" Target="https://apps.fas.usda.gov/export-sales/esrd1.html" TargetMode="External"/><Relationship Id="rId27" Type="http://schemas.openxmlformats.org/officeDocument/2006/relationships/hyperlink" Target="https://gain.fas.usda.gov/" TargetMode="External"/><Relationship Id="rId28" Type="http://schemas.openxmlformats.org/officeDocument/2006/relationships/hyperlink" Target="https://www.census.gov/foreign-trade/index.html" TargetMode="External"/><Relationship Id="rId29" Type="http://schemas.openxmlformats.org/officeDocument/2006/relationships/hyperlink" Target="https://comtradeplus.un.org/" TargetMode="External"/><Relationship Id="rId30" Type="http://schemas.openxmlformats.org/officeDocument/2006/relationships/hyperlink" Target="https://www.usdec.org/" TargetMode="External"/><Relationship Id="rId31" Type="http://schemas.openxmlformats.org/officeDocument/2006/relationships/hyperlink" Target="https://www.fao.org/faostat/" TargetMode="External"/><Relationship Id="rId32" Type="http://schemas.openxmlformats.org/officeDocument/2006/relationships/hyperlink" Target="https://www.fao.org/worldfoodsituation/foodpricesindex/en/" TargetMode="External"/><Relationship Id="rId33" Type="http://schemas.openxmlformats.org/officeDocument/2006/relationships/hyperlink" Target="https://www.agri-outlook.org/" TargetMode="External"/><Relationship Id="rId34" Type="http://schemas.openxmlformats.org/officeDocument/2006/relationships/hyperlink" Target="https://www.fapri.missouri.edu/" TargetMode="External"/><Relationship Id="rId35" Type="http://schemas.openxmlformats.org/officeDocument/2006/relationships/hyperlink" Target="https://www.eia.gov/opendata/" TargetMode="External"/><Relationship Id="rId36" Type="http://schemas.openxmlformats.org/officeDocument/2006/relationships/hyperlink" Target="https://www.nopa.org/" TargetMode="External"/><Relationship Id="rId37" Type="http://schemas.openxmlformats.org/officeDocument/2006/relationships/hyperlink" Target="https://www.epa.gov/renewable-fuel-standard-program" TargetMode="External"/><Relationship Id="rId38" Type="http://schemas.openxmlformats.org/officeDocument/2006/relationships/hyperlink" Target="https://www.conab.gov.br/" TargetMode="External"/><Relationship Id="rId39" Type="http://schemas.openxmlformats.org/officeDocument/2006/relationships/hyperlink" Target="https://www.bolsadecereales.com/" TargetMode="External"/><Relationship Id="rId40" Type="http://schemas.openxmlformats.org/officeDocument/2006/relationships/hyperlink" Target="https://www.aphis.usda.gov/" TargetMode="External"/><Relationship Id="rId41" Type="http://schemas.openxmlformats.org/officeDocument/2006/relationships/hyperlink" Target="https://www.dtnpf.com/" TargetMode="External"/><Relationship Id="rId42" Type="http://schemas.openxmlformats.org/officeDocument/2006/relationships/hyperlink" Target="https://www.worldbank.org/en/research/commodity-markets" TargetMode="External"/><Relationship Id="rId43" Type="http://schemas.openxmlformats.org/officeDocument/2006/relationships/hyperlink" Target="https://farmdocdaily.illinois.edu/" TargetMode="External"/><Relationship Id="rId44" Type="http://schemas.openxmlformats.org/officeDocument/2006/relationships/hyperlink" Target="https://www.extension.iastate.edu/agdm/" TargetMode="External"/><Relationship Id="rId45" Type="http://schemas.openxmlformats.org/officeDocument/2006/relationships/hyperlink" Target="https://ag.purdue.edu/commercialag/ageconomybarometer/" TargetMode="External"/><Relationship Id="rId46" Type="http://schemas.openxmlformats.org/officeDocument/2006/relationships/hyperlink" Target="https://www.kansascityfed.org/agriculture/ag-credit-surveys/" TargetMode="External"/><Relationship Id="rId47" Type="http://schemas.openxmlformats.org/officeDocument/2006/relationships/hyperlink" Target="https://www.chicagofed.org/publications/agletter/index" TargetMode="External"/><Relationship Id="rId48" Type="http://schemas.openxmlformats.org/officeDocument/2006/relationships/hyperlink" Target="https://research.rabobank.com/" TargetMode="External"/><Relationship Id="rId49" Type="http://schemas.openxmlformats.org/officeDocument/2006/relationships/hyperlink" Target="https://lmic.info/" TargetMode="External"/><Relationship Id="rId50" Type="http://schemas.openxmlformats.org/officeDocument/2006/relationships/hyperlink" Target="https://www.cattlefax.com/" TargetMode="External"/><Relationship Id="rId51" Type="http://schemas.openxmlformats.org/officeDocument/2006/relationships/hyperlink" Target="https://www.idfa.org/" TargetMode="External"/><Relationship Id="rId52" Type="http://schemas.openxmlformats.org/officeDocument/2006/relationships/hyperlink" Target="https://www.imf.org/en/Publications/WEO" TargetMode="External"/><Relationship Id="rId53" Type="http://schemas.openxmlformats.org/officeDocument/2006/relationships/hyperlink" Target="https://data.worldbank.org/" TargetMode="External"/><Relationship Id="rId54" Type="http://schemas.openxmlformats.org/officeDocument/2006/relationships/hyperlink" Target="https://ustr.gov/" TargetMode="External"/><Relationship Id="rId55" Type="http://schemas.openxmlformats.org/officeDocument/2006/relationships/hyperlink" Target="https://www.wto.org/" TargetMode="External"/><Relationship Id="rId56" Type="http://schemas.openxmlformats.org/officeDocument/2006/relationships/hyperlink" Target="https://www.globaltradealert.org/" TargetMode="External"/><Relationship Id="rId57" Type="http://schemas.openxmlformats.org/officeDocument/2006/relationships/hyperlink" Target="https://www.federalregister.gov/" TargetMode="External"/><Relationship Id="rId58" Type="http://schemas.openxmlformats.org/officeDocument/2006/relationships/hyperlink" Target="https://acleddata.com/" TargetMode="External"/><Relationship Id="rId59" Type="http://schemas.openxmlformats.org/officeDocument/2006/relationships/hyperlink" Target="https://www.dietaryguidelines.gov/" TargetMode="External"/><Relationship Id="rId60" Type="http://schemas.openxmlformats.org/officeDocument/2006/relationships/hyperlink" Target="https://www.fda.gov/food" TargetMode="External"/><Relationship Id="rId61" Type="http://schemas.openxmlformats.org/officeDocument/2006/relationships/hyperlink" Target="https://www.cdc.gov/" TargetMode="External"/><Relationship Id="rId62" Type="http://schemas.openxmlformats.org/officeDocument/2006/relationships/hyperlink" Target="https://foodinsight.org/" TargetMode="External"/><Relationship Id="rId63" Type="http://schemas.openxmlformats.org/officeDocument/2006/relationships/hyperlink" Target="https://www.circana.com/" TargetMode="External"/><Relationship Id="rId64" Type="http://schemas.openxmlformats.org/officeDocument/2006/relationships/hyperlink" Target="https://www.cpc.ncep.noaa.gov/" TargetMode="External"/><Relationship Id="rId65" Type="http://schemas.openxmlformats.org/officeDocument/2006/relationships/hyperlink" Target="https://droughtmonitor.unl.edu/" TargetMode="External"/><Relationship Id="rId66" Type="http://schemas.openxmlformats.org/officeDocument/2006/relationships/hyperlink" Target="https://climate.copernicus.eu/" TargetMode="External"/><Relationship Id="rId67" Type="http://schemas.openxmlformats.org/officeDocument/2006/relationships/hyperlink" Target="https://www.fao.org/giews/" TargetMode="External"/><Relationship Id="rId68" Type="http://schemas.openxmlformats.org/officeDocument/2006/relationships/hyperlink" Target="https://www.rma.usda.gov/" TargetMode="External"/><Relationship Id="rId69" Type="http://schemas.openxmlformats.org/officeDocument/2006/relationships/hyperlink" Target="https://patentsview.org/" TargetMode="External"/><Relationship Id="rId70" Type="http://schemas.openxmlformats.org/officeDocument/2006/relationships/hyperlink" Target="https://agfundernews.com/" TargetMode="External"/><Relationship Id="rId71" Type="http://schemas.openxmlformats.org/officeDocument/2006/relationships/hyperlink" Target="https://www.justice.gov/atr" TargetMode="External"/><Relationship Id="rId72" Type="http://schemas.openxmlformats.org/officeDocument/2006/relationships/hyperlink" Target="https://www.congress.gov/" TargetMode="External"/><Relationship Id="rId73" Type="http://schemas.openxmlformats.org/officeDocument/2006/relationships/hyperlink" Target="https://agriculture.house.gov/" TargetMode="External"/><Relationship Id="rId74" Type="http://schemas.openxmlformats.org/officeDocument/2006/relationships/hyperlink" Target="https://crsreports.congress.gov/" TargetMode="External"/><Relationship Id="rId75" Type="http://schemas.openxmlformats.org/officeDocument/2006/relationships/hyperlink" Target="https://www.cbo.gov/" TargetMode="External"/><Relationship Id="rId76" Type="http://schemas.openxmlformats.org/officeDocument/2006/relationships/hyperlink" Target="https://www.regulations.gov/" TargetMode="External"/><Relationship Id="rId77" Type="http://schemas.openxmlformats.org/officeDocument/2006/relationships/hyperlink" Target="https://www.reginfo.gov/public/do/eAgendaMain" TargetMode="External"/><Relationship Id="rId78" Type="http://schemas.openxmlformats.org/officeDocument/2006/relationships/hyperlink" Target="https://www.fsa.usda.gov/resources/programs" TargetMode="External"/><Relationship Id="rId79" Type="http://schemas.openxmlformats.org/officeDocument/2006/relationships/hyperlink" Target="https://www.ams.usda.gov/rules-regulations/moa/dairy" TargetMode="External"/><Relationship Id="rId80" Type="http://schemas.openxmlformats.org/officeDocument/2006/relationships/hyperlink" Target="https://www.ams.usda.gov/rules-regulations/moa" TargetMode="External"/><Relationship Id="rId81" Type="http://schemas.openxmlformats.org/officeDocument/2006/relationships/hyperlink" Target="https://www.ams.usda.gov/rules-regulations/packers-and-stockyards-act" TargetMode="External"/><Relationship Id="rId82" Type="http://schemas.openxmlformats.org/officeDocument/2006/relationships/hyperlink" Target="https://www.fsis.usda.gov/policy" TargetMode="External"/><Relationship Id="rId83" Type="http://schemas.openxmlformats.org/officeDocument/2006/relationships/hyperlink" Target="https://www.aphis.usda.gov/" TargetMode="External"/><Relationship Id="rId84" Type="http://schemas.openxmlformats.org/officeDocument/2006/relationships/hyperlink" Target="https://www.fda.gov/food/guidance-regulation-food-and-dietary-supplements/food-safety-modernization-act-fsma" TargetMode="External"/><Relationship Id="rId85" Type="http://schemas.openxmlformats.org/officeDocument/2006/relationships/hyperlink" Target="https://www.epa.gov/pesticides" TargetMode="External"/><Relationship Id="rId86" Type="http://schemas.openxmlformats.org/officeDocument/2006/relationships/hyperlink" Target="https://www.epa.gov/agriculture" TargetMode="External"/><Relationship Id="rId87" Type="http://schemas.openxmlformats.org/officeDocument/2006/relationships/hyperlink" Target="https://www.fns.usda.gov/" TargetMode="External"/><Relationship Id="rId88" Type="http://schemas.openxmlformats.org/officeDocument/2006/relationships/hyperlink" Target="https://www.nrcs.usda.gov/" TargetMode="External"/><Relationship Id="rId89" Type="http://schemas.openxmlformats.org/officeDocument/2006/relationships/hyperlink" Target="https://www.dol.gov/agencies/eta/foreign-labor" TargetMode="External"/><Relationship Id="rId90" Type="http://schemas.openxmlformats.org/officeDocument/2006/relationships/hyperlink" Target="https://www.irs.gov/" TargetMode="External"/><Relationship Id="rId91" Type="http://schemas.openxmlformats.org/officeDocument/2006/relationships/hyperlink" Target="https://www.ers.usda.gov/topics/farm-economy/farm-commodity-policy/" TargetMode="External"/><Relationship Id="rId92" Type="http://schemas.openxmlformats.org/officeDocument/2006/relationships/hyperlink" Target="https://www.ncsl.org/agriculture-and-rural-development" TargetMode="External"/><Relationship Id="rId93" Type="http://schemas.openxmlformats.org/officeDocument/2006/relationships/hyperlink" Target="https://legiscan.com/" TargetMode="External"/><Relationship Id="rId94" Type="http://schemas.openxmlformats.org/officeDocument/2006/relationships/hyperlink" Target="https://www.nasda.org/" TargetMode="External"/><Relationship Id="rId95" Type="http://schemas.openxmlformats.org/officeDocument/2006/relationships/hyperlink" Target="https://nationalaglawcenter.org/" TargetMode="External"/><Relationship Id="rId96" Type="http://schemas.openxmlformats.org/officeDocument/2006/relationships/hyperlink" Target="https://ballotpedia.org/" TargetMode="External"/><Relationship Id="rId97" Type="http://schemas.openxmlformats.org/officeDocument/2006/relationships/hyperlink" Target="https://hts.usitc.gov/" TargetMode="External"/><Relationship Id="rId98" Type="http://schemas.openxmlformats.org/officeDocument/2006/relationships/hyperlink" Target="https://www.trade.gov/enforcement-and-compliance" TargetMode="External"/><Relationship Id="rId99" Type="http://schemas.openxmlformats.org/officeDocument/2006/relationships/hyperlink" Target="https://agriculture.ec.europa.eu/" TargetMode="External"/><Relationship Id="rId100" Type="http://schemas.openxmlformats.org/officeDocument/2006/relationships/hyperlink" Target="https://www.fao.org/fao-who-codexalimentarius/" TargetMode="External"/><Relationship Id="rId101" Type="http://schemas.openxmlformats.org/officeDocument/2006/relationships/hyperlink" Target="https://www.woah.org/" TargetMode="External"/><Relationship Id="rId102" Type="http://schemas.openxmlformats.org/officeDocument/2006/relationships/hyperlink" Target="https://www.ncga.com/" TargetMode="External"/><Relationship Id="rId103" Type="http://schemas.openxmlformats.org/officeDocument/2006/relationships/hyperlink" Target="https://soygrowers.com/" TargetMode="External"/><Relationship Id="rId104" Type="http://schemas.openxmlformats.org/officeDocument/2006/relationships/hyperlink" Target="https://www.wheatworld.org/" TargetMode="External"/><Relationship Id="rId105" Type="http://schemas.openxmlformats.org/officeDocument/2006/relationships/hyperlink" Target="https://www.ncba.org/" TargetMode="External"/><Relationship Id="rId106" Type="http://schemas.openxmlformats.org/officeDocument/2006/relationships/hyperlink" Target="https://nppc.org/" TargetMode="External"/><Relationship Id="rId107" Type="http://schemas.openxmlformats.org/officeDocument/2006/relationships/hyperlink" Target="https://www.nationalchickencouncil.org/" TargetMode="External"/><Relationship Id="rId108" Type="http://schemas.openxmlformats.org/officeDocument/2006/relationships/hyperlink" Target="https://unitedegg.com/" TargetMode="External"/><Relationship Id="rId109" Type="http://schemas.openxmlformats.org/officeDocument/2006/relationships/hyperlink" Target="https://www.wga.com/" TargetMode="External"/><Relationship Id="rId110" Type="http://schemas.openxmlformats.org/officeDocument/2006/relationships/hyperlink" Target="https://www.tfi.org/" TargetMode="External"/><Relationship Id="rId111" Type="http://schemas.openxmlformats.org/officeDocument/2006/relationships/hyperlink" Target="https://www.fb.org/" TargetMode="External"/><Relationship Id="rId112" Type="http://schemas.openxmlformats.org/officeDocument/2006/relationships/hyperlink" Target="https://www.agri-pulse.com/" TargetMode="External"/><Relationship Id="rId113" Type="http://schemas.openxmlformats.org/officeDocument/2006/relationships/hyperlink" Target="https://www.hagstromreport.com/" TargetMode="External"/><Relationship Id="rId114" Type="http://schemas.openxmlformats.org/officeDocument/2006/relationships/hyperlink" Target="https://www.weather.gov/" TargetMode="External"/><Relationship Id="rId115" Type="http://schemas.openxmlformats.org/officeDocument/2006/relationships/hyperlink" Target="https://www.ncei.noaa.gov/" TargetMode="External"/><Relationship Id="rId116" Type="http://schemas.openxmlformats.org/officeDocument/2006/relationships/hyperlink" Target="https://www.cpc.ncep.noaa.gov/products/analysis_monitoring/enso_advisory/" TargetMode="External"/><Relationship Id="rId117" Type="http://schemas.openxmlformats.org/officeDocument/2006/relationships/hyperlink" Target="https://www.usda.gov/oce/weather" TargetMode="External"/><Relationship Id="rId118" Type="http://schemas.openxmlformats.org/officeDocument/2006/relationships/hyperlink" Target="https://www.climatehubs.usda.gov/" TargetMode="External"/><Relationship Id="rId119" Type="http://schemas.openxmlformats.org/officeDocument/2006/relationships/hyperlink" Target="https://power.larc.nasa.gov/" TargetMode="External"/><Relationship Id="rId120" Type="http://schemas.openxmlformats.org/officeDocument/2006/relationships/hyperlink" Target="https://www.nrcs.usda.gov/" TargetMode="External"/><Relationship Id="rId121" Type="http://schemas.openxmlformats.org/officeDocument/2006/relationships/hyperlink" Target="https://waterdata.usgs.gov/" TargetMode="External"/><Relationship Id="rId122" Type="http://schemas.openxmlformats.org/officeDocument/2006/relationships/hyperlink" Target="https://www.usbr.gov/" TargetMode="External"/><Relationship Id="rId123" Type="http://schemas.openxmlformats.org/officeDocument/2006/relationships/hyperlink" Target="https://mesonet.agron.iastate.edu/" TargetMode="External"/><Relationship Id="rId124" Type="http://schemas.openxmlformats.org/officeDocument/2006/relationships/hyperlink" Target="https://www.nhc.noaa.gov/" TargetMode="External"/><Relationship Id="rId125" Type="http://schemas.openxmlformats.org/officeDocument/2006/relationships/hyperlink" Target="https://www.nifc.gov/" TargetMode="External"/><Relationship Id="rId126" Type="http://schemas.openxmlformats.org/officeDocument/2006/relationships/hyperlink" Target="https://www.fsa.usda.gov/" TargetMode="External"/><Relationship Id="rId127" Type="http://schemas.openxmlformats.org/officeDocument/2006/relationships/hyperlink" Target="https://www.ecmwf.int/" TargetMode="External"/><Relationship Id="rId128" Type="http://schemas.openxmlformats.org/officeDocument/2006/relationships/hyperlink" Target="https://www.ipcc.ch/" TargetMode="External"/><Relationship Id="rId129" Type="http://schemas.openxmlformats.org/officeDocument/2006/relationships/hyperlink" Target="https://nca2023.globalchange.gov/" TargetMode="External"/><Relationship Id="rId130" Type="http://schemas.openxmlformats.org/officeDocument/2006/relationships/hyperlink" Target="https://iri.columbia.edu/" TargetMode="External"/><Relationship Id="rId131" Type="http://schemas.openxmlformats.org/officeDocument/2006/relationships/hyperlink" Target="https://www.dtn.com/" TargetMode="External"/><Relationship Id="rId132" Type="http://schemas.openxmlformats.org/officeDocument/2006/relationships/hyperlink" Target="https://open-meteo.com/" TargetMode="External"/><Relationship Id="rId133" Type="http://schemas.openxmlformats.org/officeDocument/2006/relationships/hyperlink" Target="https://water.noaa.gov/" TargetMode="External"/><Relationship Id="rId134" Type="http://schemas.openxmlformats.org/officeDocument/2006/relationships/hyperlink" Target="https://www.ers.usda.gov/data-products/arms-farm-financial-and-crop-production-practices/" TargetMode="External"/><Relationship Id="rId135" Type="http://schemas.openxmlformats.org/officeDocument/2006/relationships/hyperlink" Target="https://www.nifa.usda.gov/" TargetMode="External"/><Relationship Id="rId136" Type="http://schemas.openxmlformats.org/officeDocument/2006/relationships/hyperlink" Target="https://www.cgiar.org/" TargetMode="External"/><Relationship Id="rId137" Type="http://schemas.openxmlformats.org/officeDocument/2006/relationships/hyperlink" Target="https://www.fda.gov/food/generally-recognized-safe-gras/gras-notice-inventory" TargetMode="External"/><Relationship Id="rId138" Type="http://schemas.openxmlformats.org/officeDocument/2006/relationships/hyperlink" Target="https://www.sec.gov/edgar" TargetMode="External"/><Relationship Id="rId139" Type="http://schemas.openxmlformats.org/officeDocument/2006/relationships/hyperlink" Target="https://www.bls.gov/cpi/" TargetMode="External"/><Relationship Id="rId140" Type="http://schemas.openxmlformats.org/officeDocument/2006/relationships/hyperlink" Target="https://www.ers.usda.gov/data-products/food-expenditure-series/" TargetMode="External"/><Relationship Id="rId141" Type="http://schemas.openxmlformats.org/officeDocument/2006/relationships/hyperlink" Target="https://pubmed.ncbi.nlm.nih.gov/" TargetMode="External"/><Relationship Id="rId142" Type="http://schemas.openxmlformats.org/officeDocument/2006/relationships/hyperlink" Target="https://population.un.org/wpp/" TargetMode="External"/><Relationship Id="rId143" Type="http://schemas.openxmlformats.org/officeDocument/2006/relationships/hyperlink" Target="http://english.customs.gov.cn/" TargetMode="External"/><Relationship Id="rId144" Type="http://schemas.openxmlformats.org/officeDocument/2006/relationships/hyperlink" Target="https://www.ifpri.org/" TargetMode="External"/><Relationship Id="rId145" Type="http://schemas.openxmlformats.org/officeDocument/2006/relationships/hyperlink" Target="https://www.fas.usda.gov/data" TargetMode="External"/><Relationship Id="rId146" Type="http://schemas.openxmlformats.org/officeDocument/2006/relationships/hyperlink" Target="https://www.fca.gov/" TargetMode="External"/><Relationship Id="rId147" Type="http://schemas.openxmlformats.org/officeDocument/2006/relationships/hyperlink" Target="https://www.farmermac.com/" TargetMode="External"/><Relationship Id="rId148" Type="http://schemas.openxmlformats.org/officeDocument/2006/relationships/hyperlink" Target="https://farmland.org/" TargetMode="External"/><Relationship Id="rId149" Type="http://schemas.openxmlformats.org/officeDocument/2006/relationships/hyperlink" Target="https://fred.stlouisfed.org/" TargetMode="External"/><Relationship Id="rId150" Type="http://schemas.openxmlformats.org/officeDocument/2006/relationships/hyperlink" Target="https://www.ers.usda.gov/data-products/agricultural-exchange-rate-data-set/" TargetMode="External"/><Relationship Id="rId151" Type="http://schemas.openxmlformats.org/officeDocument/2006/relationships/hyperlink" Target="https://www.nass.usda.gov/Surveys/Guide_to_NASS_Surveys/Farm_Labor/" TargetMode="External"/><Relationship Id="rId152" Type="http://schemas.openxmlformats.org/officeDocument/2006/relationships/hyperlink" Target="https://www.nass.usda.gov/Publications/" TargetMode="External"/><Relationship Id="rId153" Type="http://schemas.openxmlformats.org/officeDocument/2006/relationships/hyperlink" Target="https://www.ams.usda.gov/market-news" TargetMode="External"/><Relationship Id="rId154" Type="http://schemas.openxmlformats.org/officeDocument/2006/relationships/hyperlink" Target="https://www.ams.usda.gov/services/transportation-analysis/gtr" TargetMode="External"/><Relationship Id="rId155" Type="http://schemas.openxmlformats.org/officeDocument/2006/relationships/hyperlink" Target="https://www.eia.gov/outlooks/steo/" TargetMode="External"/><Relationship Id="rId156" Type="http://schemas.openxmlformats.org/officeDocument/2006/relationships/hyperlink" Target="https://www.agriculture.gov.au/abares" TargetMode="External"/><Relationship Id="rId157" Type="http://schemas.openxmlformats.org/officeDocument/2006/relationships/hyperlink" Target="https://agriculture.ec.europa.eu/data-and-analysis/markets_en" TargetMode="External"/><Relationship Id="rId158" Type="http://schemas.openxmlformats.org/officeDocument/2006/relationships/hyperlink" Target="https://www.fsis.usda.gov/recalls" TargetMode="External"/><Relationship Id="rId159" Type="http://schemas.openxmlformats.org/officeDocument/2006/relationships/hyperlink" Target="https://websoilsurvey.nrcs.usda.gov/" TargetMode="External"/><Relationship Id="rId160" Type="http://schemas.openxmlformats.org/officeDocument/2006/relationships/hyperlink" Target="https://nassgeodata.gmu.edu/CropScape/" TargetMode="External"/><Relationship Id="rId161" Type="http://schemas.openxmlformats.org/officeDocument/2006/relationships/hyperlink" Target="https://nassgeodata.gmu.edu/VegScape/" TargetMode="External"/><Relationship Id="rId162" Type="http://schemas.openxmlformats.org/officeDocument/2006/relationships/hyperlink" Target="https://planthardiness.ars.usda.gov/" TargetMode="External"/><Relationship Id="rId163" Type="http://schemas.openxmlformats.org/officeDocument/2006/relationships/hyperlink" Target="https://msc.fema.gov/" TargetMode="External"/><Relationship Id="rId164" Type="http://schemas.openxmlformats.org/officeDocument/2006/relationships/hyperlink" Target="https://www.irs.gov/publications/p225" TargetMode="External"/><Relationship Id="rId165" Type="http://schemas.openxmlformats.org/officeDocument/2006/relationships/hyperlink" Target="https://www.farmers.gov/" TargetMode="External"/><Relationship Id="rId166" Type="http://schemas.openxmlformats.org/officeDocument/2006/relationships/hyperlink" Target="https://news.gallup.com/" TargetMode="External"/><Relationship Id="rId167" Type="http://schemas.openxmlformats.org/officeDocument/2006/relationships/hyperlink" Target="https://www.kff.org/" TargetMode="External"/><Relationship Id="rId168" Type="http://schemas.openxmlformats.org/officeDocument/2006/relationships/hyperlink" Target="https://www.cms.gov/" TargetMode="External"/><Relationship Id="rId169" Type="http://schemas.openxmlformats.org/officeDocument/2006/relationships/hyperlink" Target="https://www.accessdata.fda.gov/scripts/cder/daf/" TargetMode="External"/><Relationship Id="rId170" Type="http://schemas.openxmlformats.org/officeDocument/2006/relationships/hyperlink" Target="https://ota.com/" TargetMode="External"/><Relationship Id="rId171" Type="http://schemas.openxmlformats.org/officeDocument/2006/relationships/hyperlink" Target="https://www.climatecentral.org/" TargetMode="External"/><Relationship Id="rId172" Type="http://schemas.openxmlformats.org/officeDocument/2006/relationships/hyperlink" Target="https://wmo.int/" TargetMode="External"/><Relationship Id="rId173" Type="http://schemas.openxmlformats.org/officeDocument/2006/relationships/hyperlink" Target="https://www.ncreif.org/" TargetMode="External"/><Relationship Id="rId174" Type="http://schemas.openxmlformats.org/officeDocument/2006/relationships/hyperlink" Target="https://www.epiqglobal.com/" TargetMode="External"/><Relationship Id="rId175" Type="http://schemas.openxmlformats.org/officeDocument/2006/relationships/hyperlink" Target="https://worlddata.io/" TargetMode="External"/><Relationship Id="rId176" Type="http://schemas.openxmlformats.org/officeDocument/2006/relationships/hyperlink" Target="https://anec.com.br/" TargetMode="External"/><Relationship Id="rId177" Type="http://schemas.openxmlformats.org/officeDocument/2006/relationships/hyperlink" Target="https://bushelpowered.com/" TargetMode="External"/><Relationship Id="rId178"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10"/>
  </cols>
  <sheetData>
    <row r="1" customFormat="false" ht="17.25" hidden="false" customHeight="true" outlineLevel="0" collapsed="false">
      <c r="A1" s="2" t="s">
        <v>0</v>
      </c>
    </row>
    <row r="3" customFormat="false" ht="23.25" hidden="false" customHeight="true" outlineLevel="0" collapsed="false">
      <c r="A3" s="3" t="s">
        <v>1</v>
      </c>
      <c r="B3" s="4" t="s">
        <v>2</v>
      </c>
    </row>
    <row r="4" customFormat="false" ht="57" hidden="false" customHeight="true" outlineLevel="0" collapsed="false">
      <c r="A4" s="3" t="s">
        <v>3</v>
      </c>
      <c r="B4" s="4" t="s">
        <v>4</v>
      </c>
    </row>
    <row r="5" customFormat="false" ht="23.2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9" customFormat="false" ht="34.5" hidden="false" customHeight="true" outlineLevel="0" collapsed="false">
      <c r="A9" s="3" t="s">
        <v>13</v>
      </c>
      <c r="B9" s="4" t="s">
        <v>14</v>
      </c>
    </row>
    <row r="10" customFormat="false" ht="23.25" hidden="false" customHeight="true" outlineLevel="0" collapsed="false">
      <c r="A10" s="3" t="s">
        <v>15</v>
      </c>
      <c r="B10" s="4" t="s">
        <v>16</v>
      </c>
    </row>
    <row r="11" customFormat="false" ht="23.25" hidden="false" customHeight="true" outlineLevel="0" collapsed="false">
      <c r="A11" s="3" t="s">
        <v>17</v>
      </c>
      <c r="B11" s="4" t="s">
        <v>18</v>
      </c>
    </row>
    <row r="12" customFormat="false" ht="23.25" hidden="false" customHeight="true" outlineLevel="0" collapsed="false">
      <c r="A12" s="3" t="s">
        <v>19</v>
      </c>
      <c r="B12" s="4" t="s">
        <v>20</v>
      </c>
    </row>
    <row r="13" customFormat="false" ht="15" hidden="false" customHeight="true" outlineLevel="0" collapsed="false">
      <c r="A13" s="3" t="s">
        <v>21</v>
      </c>
      <c r="B13" s="4" t="s">
        <v>22</v>
      </c>
    </row>
    <row r="14" customFormat="false" ht="23.25" hidden="false" customHeight="true" outlineLevel="0" collapsed="false">
      <c r="A14" s="3" t="s">
        <v>23</v>
      </c>
      <c r="B14" s="4" t="s">
        <v>24</v>
      </c>
    </row>
    <row r="15" customFormat="false" ht="45.75" hidden="false" customHeight="true" outlineLevel="0" collapsed="false">
      <c r="A15" s="3" t="s">
        <v>25</v>
      </c>
      <c r="B15" s="4" t="s">
        <v>26</v>
      </c>
    </row>
    <row r="16" customFormat="false" ht="15" hidden="false" customHeight="true" outlineLevel="0" collapsed="false">
      <c r="A16" s="3" t="s">
        <v>27</v>
      </c>
      <c r="B16" s="4" t="s">
        <v>28</v>
      </c>
    </row>
    <row r="17" customFormat="false" ht="23.25" hidden="false" customHeight="true" outlineLevel="0" collapsed="false">
      <c r="A17" s="3" t="s">
        <v>29</v>
      </c>
      <c r="B17" s="4" t="s">
        <v>30</v>
      </c>
    </row>
    <row r="18" customFormat="false" ht="15" hidden="false" customHeight="true" outlineLevel="0" collapsed="false">
      <c r="A18" s="3" t="s">
        <v>31</v>
      </c>
      <c r="B18" s="4" t="s">
        <v>32</v>
      </c>
    </row>
    <row r="19" customFormat="false" ht="23.25" hidden="false" customHeight="true" outlineLevel="0" collapsed="false">
      <c r="A19" s="3" t="s">
        <v>33</v>
      </c>
      <c r="B19" s="4" t="s">
        <v>34</v>
      </c>
    </row>
    <row r="20" customFormat="false" ht="15" hidden="false" customHeight="true" outlineLevel="0" collapsed="false">
      <c r="A20" s="3" t="s">
        <v>35</v>
      </c>
      <c r="B20" s="4" t="s">
        <v>36</v>
      </c>
    </row>
    <row r="21" customFormat="false" ht="15" hidden="false" customHeight="true" outlineLevel="0" collapsed="false">
      <c r="A21" s="3" t="s">
        <v>37</v>
      </c>
      <c r="B21" s="4" t="s">
        <v>38</v>
      </c>
    </row>
    <row r="22" customFormat="false" ht="23.25" hidden="false" customHeight="true" outlineLevel="0" collapsed="false">
      <c r="A22" s="3" t="s">
        <v>39</v>
      </c>
      <c r="B22" s="4" t="s">
        <v>40</v>
      </c>
    </row>
    <row r="24" customFormat="false" ht="15" hidden="false" customHeight="true" outlineLevel="0" collapsed="false">
      <c r="A24" s="5" t="s">
        <v>41</v>
      </c>
      <c r="B24" s="6" t="n">
        <f aca="false">COUNTA('Source Registry'!$A$2:$A$300)</f>
        <v>188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4"/>
    <col collapsed="false" customWidth="true" hidden="false" outlineLevel="0" max="3" min="3" style="1" width="26"/>
    <col collapsed="false" customWidth="true" hidden="false" outlineLevel="0" max="4" min="4" style="1" width="18"/>
    <col collapsed="false" customWidth="true" hidden="false" outlineLevel="0" max="5" min="5" style="1" width="16"/>
    <col collapsed="false" customWidth="true" hidden="false" outlineLevel="0" max="6" min="6" style="1" width="20"/>
    <col collapsed="false" customWidth="true" hidden="false" outlineLevel="0" max="8" min="7" style="1" width="22"/>
    <col collapsed="false" customWidth="true" hidden="false" outlineLevel="0" max="9" min="9" style="1" width="8"/>
    <col collapsed="false" customWidth="true" hidden="false" outlineLevel="0" max="10" min="10" style="1" width="18"/>
    <col collapsed="false" customWidth="true" hidden="false" outlineLevel="0" max="11" min="11" style="1" width="22"/>
    <col collapsed="false" customWidth="true" hidden="false" outlineLevel="0" max="12" min="12" style="1" width="44"/>
    <col collapsed="false" customWidth="true" hidden="false" outlineLevel="0" max="13" min="13" style="1" width="52"/>
    <col collapsed="false" customWidth="true" hidden="false" outlineLevel="0" max="14" min="14" style="1" width="44"/>
    <col collapsed="false" customWidth="true" hidden="false" outlineLevel="0" max="15" min="15" style="1" width="20"/>
    <col collapsed="false" customWidth="true" hidden="false" outlineLevel="0" max="16" min="16" style="1" width="26"/>
    <col collapsed="false" customWidth="true" hidden="false" outlineLevel="0" max="17" min="17" style="1" width="9"/>
    <col collapsed="false" customWidth="true" hidden="false" outlineLevel="0" max="18" min="18" style="1" width="14"/>
    <col collapsed="false" customWidth="true" hidden="false" outlineLevel="0" max="20" min="19" style="1" width="16"/>
    <col collapsed="false" customWidth="true" hidden="false" outlineLevel="0" max="21" min="21" style="1" width="26"/>
    <col collapsed="false" customWidth="true" hidden="false" outlineLevel="0" max="22" min="22" style="1" width="20"/>
    <col collapsed="false" customWidth="true" hidden="false" outlineLevel="0" max="23" min="23" style="1" width="10"/>
    <col collapsed="false" customWidth="true" hidden="false" outlineLevel="0" max="24" min="24" style="1" width="36"/>
    <col collapsed="false" customWidth="true" hidden="false" outlineLevel="0" max="25" min="25" style="1" width="32"/>
    <col collapsed="false" customWidth="true" hidden="false" outlineLevel="0" max="26" min="26" style="1" width="24"/>
    <col collapsed="false" customWidth="true" hidden="false" outlineLevel="0" max="27" min="27" style="1" width="10"/>
    <col collapsed="false" customWidth="true" hidden="false" outlineLevel="0" max="28" min="28" style="1" width="44"/>
  </cols>
  <sheetData>
    <row r="1" customFormat="false" ht="30" hidden="false" customHeight="true" outlineLevel="0" collapsed="false">
      <c r="A1" s="7" t="s">
        <v>42</v>
      </c>
      <c r="B1" s="7" t="s">
        <v>43</v>
      </c>
      <c r="C1" s="7" t="s">
        <v>44</v>
      </c>
      <c r="D1" s="7" t="s">
        <v>45</v>
      </c>
      <c r="E1" s="7" t="s">
        <v>46</v>
      </c>
      <c r="F1" s="7" t="s">
        <v>47</v>
      </c>
      <c r="G1" s="7" t="s">
        <v>27</v>
      </c>
      <c r="H1" s="7" t="s">
        <v>48</v>
      </c>
      <c r="I1" s="7" t="s">
        <v>49</v>
      </c>
      <c r="J1" s="7" t="s">
        <v>50</v>
      </c>
      <c r="K1" s="7" t="s">
        <v>51</v>
      </c>
      <c r="L1" s="7" t="s">
        <v>52</v>
      </c>
      <c r="M1" s="7" t="s">
        <v>53</v>
      </c>
      <c r="N1" s="7" t="s">
        <v>54</v>
      </c>
      <c r="O1" s="7" t="s">
        <v>29</v>
      </c>
      <c r="P1" s="7" t="s">
        <v>55</v>
      </c>
      <c r="Q1" s="7" t="s">
        <v>31</v>
      </c>
      <c r="R1" s="7" t="s">
        <v>33</v>
      </c>
      <c r="S1" s="7" t="s">
        <v>35</v>
      </c>
      <c r="T1" s="7" t="s">
        <v>56</v>
      </c>
      <c r="U1" s="7" t="s">
        <v>17</v>
      </c>
      <c r="V1" s="7" t="s">
        <v>15</v>
      </c>
      <c r="W1" s="7" t="s">
        <v>13</v>
      </c>
      <c r="X1" s="7" t="s">
        <v>57</v>
      </c>
      <c r="Y1" s="7" t="s">
        <v>58</v>
      </c>
      <c r="Z1" s="7" t="s">
        <v>21</v>
      </c>
      <c r="AA1" s="7" t="s">
        <v>23</v>
      </c>
      <c r="AB1" s="7" t="s">
        <v>59</v>
      </c>
    </row>
    <row r="2" customFormat="false" ht="23.25" hidden="false" customHeight="true" outlineLevel="0" collapsed="false">
      <c r="A2" s="8" t="s">
        <v>60</v>
      </c>
      <c r="B2" s="8" t="s">
        <v>61</v>
      </c>
      <c r="C2" s="8" t="s">
        <v>62</v>
      </c>
      <c r="D2" s="8" t="s">
        <v>63</v>
      </c>
      <c r="E2" s="8" t="s">
        <v>64</v>
      </c>
      <c r="F2" s="8" t="s">
        <v>65</v>
      </c>
      <c r="G2" s="8" t="s">
        <v>66</v>
      </c>
      <c r="H2" s="8" t="s">
        <v>67</v>
      </c>
      <c r="I2" s="9" t="n">
        <v>1</v>
      </c>
      <c r="J2" s="8" t="s">
        <v>68</v>
      </c>
      <c r="K2" s="8" t="s">
        <v>69</v>
      </c>
      <c r="L2" s="10" t="s">
        <v>70</v>
      </c>
      <c r="M2" s="8" t="s">
        <v>71</v>
      </c>
      <c r="N2" s="8" t="s">
        <v>72</v>
      </c>
      <c r="O2" s="8" t="s">
        <v>73</v>
      </c>
      <c r="P2" s="8" t="s">
        <v>74</v>
      </c>
      <c r="Q2" s="9" t="s">
        <v>60</v>
      </c>
      <c r="R2" s="8" t="s">
        <v>75</v>
      </c>
      <c r="S2" s="8" t="s">
        <v>76</v>
      </c>
      <c r="T2" s="11" t="s">
        <v>77</v>
      </c>
      <c r="U2" s="8" t="s">
        <v>78</v>
      </c>
      <c r="V2" s="8" t="s">
        <v>79</v>
      </c>
      <c r="W2" s="8" t="n">
        <v>2</v>
      </c>
      <c r="X2" s="8" t="s">
        <v>80</v>
      </c>
      <c r="Y2" s="8" t="s">
        <v>81</v>
      </c>
      <c r="Z2" s="8" t="s">
        <v>82</v>
      </c>
      <c r="AA2" s="11"/>
      <c r="AB2" s="8"/>
    </row>
    <row r="3" customFormat="false" ht="23.25" hidden="false" customHeight="true" outlineLevel="0" collapsed="false">
      <c r="A3" s="8" t="s">
        <v>83</v>
      </c>
      <c r="B3" s="8" t="s">
        <v>84</v>
      </c>
      <c r="C3" s="8" t="s">
        <v>85</v>
      </c>
      <c r="D3" s="8" t="s">
        <v>63</v>
      </c>
      <c r="E3" s="8" t="s">
        <v>64</v>
      </c>
      <c r="F3" s="8" t="s">
        <v>65</v>
      </c>
      <c r="G3" s="8" t="s">
        <v>86</v>
      </c>
      <c r="H3" s="8" t="s">
        <v>67</v>
      </c>
      <c r="I3" s="9" t="n">
        <v>1</v>
      </c>
      <c r="J3" s="8" t="s">
        <v>68</v>
      </c>
      <c r="K3" s="8" t="s">
        <v>87</v>
      </c>
      <c r="L3" s="10" t="s">
        <v>88</v>
      </c>
      <c r="M3" s="8" t="s">
        <v>89</v>
      </c>
      <c r="N3" s="8" t="s">
        <v>90</v>
      </c>
      <c r="O3" s="8" t="s">
        <v>73</v>
      </c>
      <c r="P3" s="8" t="s">
        <v>91</v>
      </c>
      <c r="Q3" s="9" t="s">
        <v>60</v>
      </c>
      <c r="R3" s="8" t="s">
        <v>92</v>
      </c>
      <c r="S3" s="8" t="s">
        <v>93</v>
      </c>
      <c r="T3" s="11" t="s">
        <v>77</v>
      </c>
      <c r="U3" s="8" t="s">
        <v>78</v>
      </c>
      <c r="V3" s="8" t="s">
        <v>79</v>
      </c>
      <c r="W3" s="8" t="n">
        <v>2</v>
      </c>
      <c r="X3" s="8" t="s">
        <v>80</v>
      </c>
      <c r="Y3" s="8" t="s">
        <v>81</v>
      </c>
      <c r="Z3" s="8" t="s">
        <v>82</v>
      </c>
      <c r="AA3" s="11"/>
      <c r="AB3" s="8"/>
    </row>
    <row r="4" customFormat="false" ht="23.25" hidden="false" customHeight="true" outlineLevel="0" collapsed="false">
      <c r="A4" s="8" t="s">
        <v>94</v>
      </c>
      <c r="B4" s="8" t="s">
        <v>95</v>
      </c>
      <c r="C4" s="8" t="s">
        <v>96</v>
      </c>
      <c r="D4" s="8" t="s">
        <v>63</v>
      </c>
      <c r="E4" s="8" t="s">
        <v>64</v>
      </c>
      <c r="F4" s="8" t="s">
        <v>65</v>
      </c>
      <c r="G4" s="8" t="s">
        <v>86</v>
      </c>
      <c r="H4" s="8" t="s">
        <v>67</v>
      </c>
      <c r="I4" s="9" t="n">
        <v>1</v>
      </c>
      <c r="J4" s="8" t="s">
        <v>97</v>
      </c>
      <c r="K4" s="8" t="s">
        <v>98</v>
      </c>
      <c r="L4" s="10" t="s">
        <v>99</v>
      </c>
      <c r="M4" s="8" t="s">
        <v>100</v>
      </c>
      <c r="N4" s="8" t="s">
        <v>101</v>
      </c>
      <c r="O4" s="8" t="s">
        <v>102</v>
      </c>
      <c r="P4" s="8"/>
      <c r="Q4" s="9" t="s">
        <v>94</v>
      </c>
      <c r="R4" s="8" t="s">
        <v>103</v>
      </c>
      <c r="S4" s="8" t="s">
        <v>104</v>
      </c>
      <c r="T4" s="11" t="s">
        <v>77</v>
      </c>
      <c r="U4" s="8" t="s">
        <v>78</v>
      </c>
      <c r="V4" s="8" t="s">
        <v>79</v>
      </c>
      <c r="W4" s="8" t="n">
        <v>2</v>
      </c>
      <c r="X4" s="8" t="s">
        <v>80</v>
      </c>
      <c r="Y4" s="8" t="s">
        <v>81</v>
      </c>
      <c r="Z4" s="8" t="s">
        <v>82</v>
      </c>
      <c r="AA4" s="11"/>
      <c r="AB4" s="8"/>
    </row>
    <row r="5" customFormat="false" ht="23.25" hidden="false" customHeight="true" outlineLevel="0" collapsed="false">
      <c r="A5" s="8" t="s">
        <v>105</v>
      </c>
      <c r="B5" s="8" t="s">
        <v>106</v>
      </c>
      <c r="C5" s="8" t="s">
        <v>96</v>
      </c>
      <c r="D5" s="8" t="s">
        <v>107</v>
      </c>
      <c r="E5" s="8" t="s">
        <v>64</v>
      </c>
      <c r="F5" s="8" t="s">
        <v>65</v>
      </c>
      <c r="G5" s="8" t="s">
        <v>66</v>
      </c>
      <c r="H5" s="8" t="s">
        <v>67</v>
      </c>
      <c r="I5" s="9" t="n">
        <v>1</v>
      </c>
      <c r="J5" s="8" t="s">
        <v>108</v>
      </c>
      <c r="K5" s="8" t="s">
        <v>69</v>
      </c>
      <c r="L5" s="10" t="s">
        <v>109</v>
      </c>
      <c r="M5" s="8" t="s">
        <v>110</v>
      </c>
      <c r="N5" s="8" t="s">
        <v>111</v>
      </c>
      <c r="O5" s="8" t="s">
        <v>102</v>
      </c>
      <c r="P5" s="8"/>
      <c r="Q5" s="9" t="s">
        <v>105</v>
      </c>
      <c r="R5" s="8" t="s">
        <v>103</v>
      </c>
      <c r="S5" s="8" t="s">
        <v>104</v>
      </c>
      <c r="T5" s="11" t="s">
        <v>77</v>
      </c>
      <c r="U5" s="8" t="s">
        <v>78</v>
      </c>
      <c r="V5" s="8" t="s">
        <v>79</v>
      </c>
      <c r="W5" s="8" t="n">
        <v>2</v>
      </c>
      <c r="X5" s="8" t="s">
        <v>80</v>
      </c>
      <c r="Y5" s="8" t="s">
        <v>81</v>
      </c>
      <c r="Z5" s="8" t="s">
        <v>82</v>
      </c>
      <c r="AA5" s="11"/>
      <c r="AB5" s="8"/>
    </row>
    <row r="6" customFormat="false" ht="23.25" hidden="false" customHeight="true" outlineLevel="0" collapsed="false">
      <c r="A6" s="8" t="s">
        <v>112</v>
      </c>
      <c r="B6" s="8" t="s">
        <v>113</v>
      </c>
      <c r="C6" s="8" t="s">
        <v>96</v>
      </c>
      <c r="D6" s="8" t="s">
        <v>114</v>
      </c>
      <c r="E6" s="8" t="s">
        <v>64</v>
      </c>
      <c r="F6" s="8" t="s">
        <v>65</v>
      </c>
      <c r="G6" s="8" t="s">
        <v>66</v>
      </c>
      <c r="H6" s="8" t="s">
        <v>67</v>
      </c>
      <c r="I6" s="9" t="n">
        <v>1</v>
      </c>
      <c r="J6" s="8" t="s">
        <v>115</v>
      </c>
      <c r="K6" s="8" t="s">
        <v>87</v>
      </c>
      <c r="L6" s="10" t="s">
        <v>109</v>
      </c>
      <c r="M6" s="8" t="s">
        <v>116</v>
      </c>
      <c r="N6" s="8" t="s">
        <v>117</v>
      </c>
      <c r="O6" s="8" t="s">
        <v>102</v>
      </c>
      <c r="P6" s="8"/>
      <c r="Q6" s="9" t="s">
        <v>112</v>
      </c>
      <c r="R6" s="8" t="s">
        <v>103</v>
      </c>
      <c r="S6" s="8" t="s">
        <v>104</v>
      </c>
      <c r="T6" s="11" t="s">
        <v>77</v>
      </c>
      <c r="U6" s="8" t="s">
        <v>78</v>
      </c>
      <c r="V6" s="8" t="s">
        <v>79</v>
      </c>
      <c r="W6" s="8" t="n">
        <v>2</v>
      </c>
      <c r="X6" s="8" t="s">
        <v>80</v>
      </c>
      <c r="Y6" s="8" t="s">
        <v>81</v>
      </c>
      <c r="Z6" s="8" t="s">
        <v>82</v>
      </c>
      <c r="AA6" s="11"/>
      <c r="AB6" s="8"/>
    </row>
    <row r="7" customFormat="false" ht="23.25" hidden="false" customHeight="true" outlineLevel="0" collapsed="false">
      <c r="A7" s="8" t="s">
        <v>118</v>
      </c>
      <c r="B7" s="8" t="s">
        <v>119</v>
      </c>
      <c r="C7" s="8" t="s">
        <v>96</v>
      </c>
      <c r="D7" s="8" t="s">
        <v>120</v>
      </c>
      <c r="E7" s="8" t="s">
        <v>64</v>
      </c>
      <c r="F7" s="8" t="s">
        <v>65</v>
      </c>
      <c r="G7" s="8" t="s">
        <v>66</v>
      </c>
      <c r="H7" s="8" t="s">
        <v>67</v>
      </c>
      <c r="I7" s="9" t="n">
        <v>1</v>
      </c>
      <c r="J7" s="8" t="s">
        <v>68</v>
      </c>
      <c r="K7" s="8" t="s">
        <v>87</v>
      </c>
      <c r="L7" s="10" t="s">
        <v>109</v>
      </c>
      <c r="M7" s="8" t="s">
        <v>121</v>
      </c>
      <c r="N7" s="8" t="s">
        <v>122</v>
      </c>
      <c r="O7" s="8" t="s">
        <v>102</v>
      </c>
      <c r="P7" s="8"/>
      <c r="Q7" s="9" t="s">
        <v>118</v>
      </c>
      <c r="R7" s="8" t="s">
        <v>103</v>
      </c>
      <c r="S7" s="8" t="s">
        <v>104</v>
      </c>
      <c r="T7" s="11" t="s">
        <v>77</v>
      </c>
      <c r="U7" s="8" t="s">
        <v>78</v>
      </c>
      <c r="V7" s="8" t="s">
        <v>79</v>
      </c>
      <c r="W7" s="8" t="n">
        <v>2</v>
      </c>
      <c r="X7" s="8" t="s">
        <v>80</v>
      </c>
      <c r="Y7" s="8" t="s">
        <v>81</v>
      </c>
      <c r="Z7" s="8" t="s">
        <v>82</v>
      </c>
      <c r="AA7" s="11"/>
      <c r="AB7" s="8"/>
    </row>
    <row r="8" customFormat="false" ht="15" hidden="false" customHeight="true" outlineLevel="0" collapsed="false">
      <c r="A8" s="8" t="s">
        <v>123</v>
      </c>
      <c r="B8" s="8" t="s">
        <v>124</v>
      </c>
      <c r="C8" s="8" t="s">
        <v>125</v>
      </c>
      <c r="D8" s="8" t="s">
        <v>120</v>
      </c>
      <c r="E8" s="8" t="s">
        <v>64</v>
      </c>
      <c r="F8" s="8" t="s">
        <v>65</v>
      </c>
      <c r="G8" s="8" t="s">
        <v>66</v>
      </c>
      <c r="H8" s="8" t="s">
        <v>67</v>
      </c>
      <c r="I8" s="9" t="n">
        <v>1</v>
      </c>
      <c r="J8" s="8" t="s">
        <v>68</v>
      </c>
      <c r="K8" s="8" t="s">
        <v>69</v>
      </c>
      <c r="L8" s="10" t="s">
        <v>126</v>
      </c>
      <c r="M8" s="8" t="s">
        <v>127</v>
      </c>
      <c r="N8" s="8" t="s">
        <v>128</v>
      </c>
      <c r="O8" s="8" t="s">
        <v>129</v>
      </c>
      <c r="P8" s="8" t="s">
        <v>130</v>
      </c>
      <c r="Q8" s="9" t="s">
        <v>60</v>
      </c>
      <c r="R8" s="8" t="s">
        <v>92</v>
      </c>
      <c r="S8" s="8" t="s">
        <v>131</v>
      </c>
      <c r="T8" s="11" t="s">
        <v>77</v>
      </c>
      <c r="U8" s="8" t="s">
        <v>78</v>
      </c>
      <c r="V8" s="8" t="s">
        <v>132</v>
      </c>
      <c r="W8" s="8" t="n">
        <v>1</v>
      </c>
      <c r="X8" s="8" t="s">
        <v>80</v>
      </c>
      <c r="Y8" s="8" t="s">
        <v>81</v>
      </c>
      <c r="Z8" s="8" t="s">
        <v>82</v>
      </c>
      <c r="AA8" s="11"/>
      <c r="AB8" s="8"/>
    </row>
    <row r="9" customFormat="false" ht="23.25" hidden="false" customHeight="true" outlineLevel="0" collapsed="false">
      <c r="A9" s="8" t="s">
        <v>133</v>
      </c>
      <c r="B9" s="8" t="s">
        <v>134</v>
      </c>
      <c r="C9" s="8" t="s">
        <v>125</v>
      </c>
      <c r="D9" s="8" t="s">
        <v>107</v>
      </c>
      <c r="E9" s="8" t="s">
        <v>64</v>
      </c>
      <c r="F9" s="8" t="s">
        <v>65</v>
      </c>
      <c r="G9" s="8" t="s">
        <v>66</v>
      </c>
      <c r="H9" s="8" t="s">
        <v>67</v>
      </c>
      <c r="I9" s="9" t="n">
        <v>1</v>
      </c>
      <c r="J9" s="8" t="s">
        <v>68</v>
      </c>
      <c r="K9" s="8" t="s">
        <v>69</v>
      </c>
      <c r="L9" s="10" t="s">
        <v>135</v>
      </c>
      <c r="M9" s="8" t="s">
        <v>136</v>
      </c>
      <c r="N9" s="8" t="s">
        <v>137</v>
      </c>
      <c r="O9" s="8" t="s">
        <v>129</v>
      </c>
      <c r="P9" s="8" t="s">
        <v>138</v>
      </c>
      <c r="Q9" s="9" t="s">
        <v>60</v>
      </c>
      <c r="R9" s="8" t="s">
        <v>92</v>
      </c>
      <c r="S9" s="8" t="s">
        <v>131</v>
      </c>
      <c r="T9" s="11" t="s">
        <v>77</v>
      </c>
      <c r="U9" s="8" t="s">
        <v>78</v>
      </c>
      <c r="V9" s="8" t="s">
        <v>132</v>
      </c>
      <c r="W9" s="8" t="n">
        <v>1</v>
      </c>
      <c r="X9" s="8" t="s">
        <v>80</v>
      </c>
      <c r="Y9" s="8" t="s">
        <v>81</v>
      </c>
      <c r="Z9" s="8" t="s">
        <v>82</v>
      </c>
      <c r="AA9" s="11"/>
      <c r="AB9" s="8"/>
    </row>
    <row r="10" customFormat="false" ht="23.25" hidden="false" customHeight="true" outlineLevel="0" collapsed="false">
      <c r="A10" s="8" t="s">
        <v>139</v>
      </c>
      <c r="B10" s="8" t="s">
        <v>140</v>
      </c>
      <c r="C10" s="8" t="s">
        <v>125</v>
      </c>
      <c r="D10" s="8" t="s">
        <v>141</v>
      </c>
      <c r="E10" s="8" t="s">
        <v>64</v>
      </c>
      <c r="F10" s="8" t="s">
        <v>65</v>
      </c>
      <c r="G10" s="8" t="s">
        <v>86</v>
      </c>
      <c r="H10" s="8" t="s">
        <v>67</v>
      </c>
      <c r="I10" s="9" t="n">
        <v>1</v>
      </c>
      <c r="J10" s="8" t="s">
        <v>142</v>
      </c>
      <c r="K10" s="8" t="s">
        <v>69</v>
      </c>
      <c r="L10" s="10" t="s">
        <v>135</v>
      </c>
      <c r="M10" s="8" t="s">
        <v>143</v>
      </c>
      <c r="N10" s="8" t="s">
        <v>144</v>
      </c>
      <c r="O10" s="8" t="s">
        <v>129</v>
      </c>
      <c r="P10" s="8" t="s">
        <v>145</v>
      </c>
      <c r="Q10" s="9" t="s">
        <v>94</v>
      </c>
      <c r="R10" s="8" t="s">
        <v>75</v>
      </c>
      <c r="S10" s="8" t="s">
        <v>131</v>
      </c>
      <c r="T10" s="11" t="s">
        <v>77</v>
      </c>
      <c r="U10" s="8" t="s">
        <v>78</v>
      </c>
      <c r="V10" s="8" t="s">
        <v>132</v>
      </c>
      <c r="W10" s="8" t="n">
        <v>1</v>
      </c>
      <c r="X10" s="8" t="s">
        <v>80</v>
      </c>
      <c r="Y10" s="8" t="s">
        <v>81</v>
      </c>
      <c r="Z10" s="8" t="s">
        <v>82</v>
      </c>
      <c r="AA10" s="11"/>
      <c r="AB10" s="8"/>
    </row>
    <row r="11" customFormat="false" ht="15" hidden="false" customHeight="true" outlineLevel="0" collapsed="false">
      <c r="A11" s="8" t="s">
        <v>146</v>
      </c>
      <c r="B11" s="8" t="s">
        <v>147</v>
      </c>
      <c r="C11" s="8" t="s">
        <v>125</v>
      </c>
      <c r="D11" s="8" t="s">
        <v>63</v>
      </c>
      <c r="E11" s="8" t="s">
        <v>148</v>
      </c>
      <c r="F11" s="8" t="s">
        <v>149</v>
      </c>
      <c r="G11" s="8" t="s">
        <v>66</v>
      </c>
      <c r="H11" s="8" t="s">
        <v>67</v>
      </c>
      <c r="I11" s="9" t="n">
        <v>1</v>
      </c>
      <c r="J11" s="8" t="s">
        <v>68</v>
      </c>
      <c r="K11" s="8" t="s">
        <v>69</v>
      </c>
      <c r="L11" s="10" t="s">
        <v>150</v>
      </c>
      <c r="M11" s="8" t="s">
        <v>151</v>
      </c>
      <c r="N11" s="8" t="s">
        <v>152</v>
      </c>
      <c r="O11" s="8" t="s">
        <v>73</v>
      </c>
      <c r="P11" s="8" t="s">
        <v>153</v>
      </c>
      <c r="Q11" s="9" t="s">
        <v>146</v>
      </c>
      <c r="R11" s="8" t="s">
        <v>75</v>
      </c>
      <c r="S11" s="8" t="s">
        <v>76</v>
      </c>
      <c r="T11" s="11" t="s">
        <v>77</v>
      </c>
      <c r="U11" s="8" t="s">
        <v>78</v>
      </c>
      <c r="V11" s="8" t="s">
        <v>132</v>
      </c>
      <c r="W11" s="8" t="n">
        <v>1</v>
      </c>
      <c r="X11" s="8" t="s">
        <v>80</v>
      </c>
      <c r="Y11" s="8" t="s">
        <v>81</v>
      </c>
      <c r="Z11" s="8" t="s">
        <v>82</v>
      </c>
      <c r="AA11" s="11"/>
      <c r="AB11" s="8"/>
    </row>
    <row r="12" customFormat="false" ht="15" hidden="false" customHeight="true" outlineLevel="0" collapsed="false">
      <c r="A12" s="8" t="s">
        <v>154</v>
      </c>
      <c r="B12" s="8" t="s">
        <v>155</v>
      </c>
      <c r="C12" s="8" t="s">
        <v>125</v>
      </c>
      <c r="D12" s="8" t="s">
        <v>63</v>
      </c>
      <c r="E12" s="8" t="s">
        <v>148</v>
      </c>
      <c r="F12" s="8" t="s">
        <v>149</v>
      </c>
      <c r="G12" s="8" t="s">
        <v>156</v>
      </c>
      <c r="H12" s="8" t="s">
        <v>67</v>
      </c>
      <c r="I12" s="9" t="n">
        <v>1</v>
      </c>
      <c r="J12" s="8" t="s">
        <v>157</v>
      </c>
      <c r="K12" s="8" t="s">
        <v>69</v>
      </c>
      <c r="L12" s="10" t="s">
        <v>158</v>
      </c>
      <c r="M12" s="8" t="s">
        <v>159</v>
      </c>
      <c r="N12" s="8" t="s">
        <v>160</v>
      </c>
      <c r="O12" s="8" t="s">
        <v>129</v>
      </c>
      <c r="P12" s="8" t="s">
        <v>161</v>
      </c>
      <c r="Q12" s="9" t="s">
        <v>94</v>
      </c>
      <c r="R12" s="8" t="s">
        <v>75</v>
      </c>
      <c r="S12" s="8" t="s">
        <v>93</v>
      </c>
      <c r="T12" s="11" t="s">
        <v>77</v>
      </c>
      <c r="U12" s="8" t="s">
        <v>78</v>
      </c>
      <c r="V12" s="8" t="s">
        <v>79</v>
      </c>
      <c r="W12" s="8" t="n">
        <v>2</v>
      </c>
      <c r="X12" s="8" t="s">
        <v>80</v>
      </c>
      <c r="Y12" s="8" t="s">
        <v>81</v>
      </c>
      <c r="Z12" s="8" t="s">
        <v>82</v>
      </c>
      <c r="AA12" s="11"/>
      <c r="AB12" s="8"/>
    </row>
    <row r="13" customFormat="false" ht="15" hidden="false" customHeight="true" outlineLevel="0" collapsed="false">
      <c r="A13" s="8" t="s">
        <v>162</v>
      </c>
      <c r="B13" s="8" t="s">
        <v>163</v>
      </c>
      <c r="C13" s="8" t="s">
        <v>125</v>
      </c>
      <c r="D13" s="8" t="s">
        <v>164</v>
      </c>
      <c r="E13" s="8" t="s">
        <v>165</v>
      </c>
      <c r="F13" s="8" t="s">
        <v>65</v>
      </c>
      <c r="G13" s="8" t="s">
        <v>66</v>
      </c>
      <c r="H13" s="8" t="s">
        <v>67</v>
      </c>
      <c r="I13" s="9" t="n">
        <v>1</v>
      </c>
      <c r="J13" s="8" t="s">
        <v>166</v>
      </c>
      <c r="K13" s="8" t="s">
        <v>69</v>
      </c>
      <c r="L13" s="10" t="s">
        <v>167</v>
      </c>
      <c r="M13" s="8" t="s">
        <v>168</v>
      </c>
      <c r="N13" s="8" t="s">
        <v>169</v>
      </c>
      <c r="O13" s="8" t="s">
        <v>129</v>
      </c>
      <c r="P13" s="8" t="s">
        <v>170</v>
      </c>
      <c r="Q13" s="9" t="s">
        <v>94</v>
      </c>
      <c r="R13" s="8" t="s">
        <v>75</v>
      </c>
      <c r="S13" s="8" t="s">
        <v>76</v>
      </c>
      <c r="T13" s="11" t="s">
        <v>77</v>
      </c>
      <c r="U13" s="8" t="s">
        <v>171</v>
      </c>
      <c r="V13" s="8" t="s">
        <v>132</v>
      </c>
      <c r="W13" s="8" t="n">
        <v>1</v>
      </c>
      <c r="X13" s="8" t="s">
        <v>172</v>
      </c>
      <c r="Y13" s="8" t="s">
        <v>173</v>
      </c>
      <c r="Z13" s="8" t="s">
        <v>82</v>
      </c>
      <c r="AA13" s="11"/>
      <c r="AB13" s="8"/>
    </row>
    <row r="14" customFormat="false" ht="23.25" hidden="false" customHeight="true" outlineLevel="0" collapsed="false">
      <c r="A14" s="8" t="s">
        <v>174</v>
      </c>
      <c r="B14" s="8" t="s">
        <v>175</v>
      </c>
      <c r="C14" s="8" t="s">
        <v>125</v>
      </c>
      <c r="D14" s="8" t="s">
        <v>63</v>
      </c>
      <c r="E14" s="8" t="s">
        <v>148</v>
      </c>
      <c r="F14" s="8" t="s">
        <v>176</v>
      </c>
      <c r="G14" s="8" t="s">
        <v>156</v>
      </c>
      <c r="H14" s="8" t="s">
        <v>67</v>
      </c>
      <c r="I14" s="9" t="n">
        <v>1</v>
      </c>
      <c r="J14" s="8" t="s">
        <v>157</v>
      </c>
      <c r="K14" s="8" t="s">
        <v>69</v>
      </c>
      <c r="L14" s="10" t="s">
        <v>177</v>
      </c>
      <c r="M14" s="8" t="s">
        <v>178</v>
      </c>
      <c r="N14" s="8" t="s">
        <v>179</v>
      </c>
      <c r="O14" s="8" t="s">
        <v>129</v>
      </c>
      <c r="P14" s="8" t="s">
        <v>180</v>
      </c>
      <c r="Q14" s="9" t="s">
        <v>181</v>
      </c>
      <c r="R14" s="8" t="s">
        <v>92</v>
      </c>
      <c r="S14" s="8" t="s">
        <v>93</v>
      </c>
      <c r="T14" s="11" t="s">
        <v>77</v>
      </c>
      <c r="U14" s="8" t="s">
        <v>78</v>
      </c>
      <c r="V14" s="8" t="s">
        <v>79</v>
      </c>
      <c r="W14" s="8" t="n">
        <v>2</v>
      </c>
      <c r="X14" s="8" t="s">
        <v>80</v>
      </c>
      <c r="Y14" s="8" t="s">
        <v>81</v>
      </c>
      <c r="Z14" s="8" t="s">
        <v>82</v>
      </c>
      <c r="AA14" s="11"/>
      <c r="AB14" s="8"/>
    </row>
    <row r="15" customFormat="false" ht="15" hidden="false" customHeight="true" outlineLevel="0" collapsed="false">
      <c r="A15" s="8" t="s">
        <v>182</v>
      </c>
      <c r="B15" s="8" t="s">
        <v>183</v>
      </c>
      <c r="C15" s="8" t="s">
        <v>96</v>
      </c>
      <c r="D15" s="8" t="s">
        <v>184</v>
      </c>
      <c r="E15" s="8" t="s">
        <v>185</v>
      </c>
      <c r="F15" s="8" t="s">
        <v>184</v>
      </c>
      <c r="G15" s="8" t="s">
        <v>156</v>
      </c>
      <c r="H15" s="8" t="s">
        <v>67</v>
      </c>
      <c r="I15" s="9" t="n">
        <v>1</v>
      </c>
      <c r="J15" s="8" t="s">
        <v>186</v>
      </c>
      <c r="K15" s="8" t="s">
        <v>69</v>
      </c>
      <c r="L15" s="10" t="s">
        <v>187</v>
      </c>
      <c r="M15" s="8" t="s">
        <v>188</v>
      </c>
      <c r="N15" s="8" t="s">
        <v>189</v>
      </c>
      <c r="O15" s="8" t="s">
        <v>102</v>
      </c>
      <c r="P15" s="8"/>
      <c r="Q15" s="9" t="s">
        <v>182</v>
      </c>
      <c r="R15" s="8" t="s">
        <v>103</v>
      </c>
      <c r="S15" s="8" t="s">
        <v>104</v>
      </c>
      <c r="T15" s="11" t="s">
        <v>77</v>
      </c>
      <c r="U15" s="8" t="s">
        <v>190</v>
      </c>
      <c r="V15" s="8" t="s">
        <v>79</v>
      </c>
      <c r="W15" s="8" t="n">
        <v>2</v>
      </c>
      <c r="X15" s="8" t="s">
        <v>191</v>
      </c>
      <c r="Y15" s="8" t="s">
        <v>192</v>
      </c>
      <c r="Z15" s="8" t="s">
        <v>193</v>
      </c>
      <c r="AA15" s="11"/>
      <c r="AB15" s="8"/>
    </row>
    <row r="16" customFormat="false" ht="15" hidden="false" customHeight="true" outlineLevel="0" collapsed="false">
      <c r="A16" s="8" t="s">
        <v>194</v>
      </c>
      <c r="B16" s="8" t="s">
        <v>195</v>
      </c>
      <c r="C16" s="8" t="s">
        <v>96</v>
      </c>
      <c r="D16" s="8" t="s">
        <v>184</v>
      </c>
      <c r="E16" s="8" t="s">
        <v>185</v>
      </c>
      <c r="F16" s="8" t="s">
        <v>184</v>
      </c>
      <c r="G16" s="8" t="s">
        <v>86</v>
      </c>
      <c r="H16" s="8" t="s">
        <v>67</v>
      </c>
      <c r="I16" s="9" t="n">
        <v>1</v>
      </c>
      <c r="J16" s="8" t="s">
        <v>157</v>
      </c>
      <c r="K16" s="8" t="s">
        <v>69</v>
      </c>
      <c r="L16" s="10" t="s">
        <v>109</v>
      </c>
      <c r="M16" s="8" t="s">
        <v>196</v>
      </c>
      <c r="N16" s="8" t="s">
        <v>197</v>
      </c>
      <c r="O16" s="8" t="s">
        <v>102</v>
      </c>
      <c r="P16" s="8"/>
      <c r="Q16" s="9" t="s">
        <v>194</v>
      </c>
      <c r="R16" s="8" t="s">
        <v>103</v>
      </c>
      <c r="S16" s="8" t="s">
        <v>104</v>
      </c>
      <c r="T16" s="11" t="s">
        <v>77</v>
      </c>
      <c r="U16" s="8" t="s">
        <v>190</v>
      </c>
      <c r="V16" s="8" t="s">
        <v>79</v>
      </c>
      <c r="W16" s="8" t="n">
        <v>2</v>
      </c>
      <c r="X16" s="8" t="s">
        <v>191</v>
      </c>
      <c r="Y16" s="8" t="s">
        <v>192</v>
      </c>
      <c r="Z16" s="8" t="s">
        <v>193</v>
      </c>
      <c r="AA16" s="11"/>
      <c r="AB16" s="8"/>
    </row>
    <row r="17" customFormat="false" ht="15" hidden="false" customHeight="true" outlineLevel="0" collapsed="false">
      <c r="A17" s="8" t="s">
        <v>198</v>
      </c>
      <c r="B17" s="8" t="s">
        <v>199</v>
      </c>
      <c r="C17" s="8" t="s">
        <v>200</v>
      </c>
      <c r="D17" s="8" t="s">
        <v>184</v>
      </c>
      <c r="E17" s="8" t="s">
        <v>185</v>
      </c>
      <c r="F17" s="8" t="s">
        <v>184</v>
      </c>
      <c r="G17" s="8" t="s">
        <v>156</v>
      </c>
      <c r="H17" s="8" t="s">
        <v>67</v>
      </c>
      <c r="I17" s="9" t="n">
        <v>1</v>
      </c>
      <c r="J17" s="8" t="s">
        <v>157</v>
      </c>
      <c r="K17" s="8" t="s">
        <v>69</v>
      </c>
      <c r="L17" s="10" t="s">
        <v>201</v>
      </c>
      <c r="M17" s="8" t="s">
        <v>202</v>
      </c>
      <c r="N17" s="8" t="s">
        <v>203</v>
      </c>
      <c r="O17" s="8" t="s">
        <v>102</v>
      </c>
      <c r="P17" s="8"/>
      <c r="Q17" s="9" t="s">
        <v>198</v>
      </c>
      <c r="R17" s="8" t="s">
        <v>103</v>
      </c>
      <c r="S17" s="8" t="s">
        <v>104</v>
      </c>
      <c r="T17" s="11" t="s">
        <v>77</v>
      </c>
      <c r="U17" s="8" t="s">
        <v>190</v>
      </c>
      <c r="V17" s="8" t="s">
        <v>79</v>
      </c>
      <c r="W17" s="8" t="n">
        <v>2</v>
      </c>
      <c r="X17" s="8" t="s">
        <v>191</v>
      </c>
      <c r="Y17" s="8" t="s">
        <v>192</v>
      </c>
      <c r="Z17" s="8" t="s">
        <v>193</v>
      </c>
      <c r="AA17" s="11"/>
      <c r="AB17" s="8"/>
    </row>
    <row r="18" customFormat="false" ht="23.25" hidden="false" customHeight="true" outlineLevel="0" collapsed="false">
      <c r="A18" s="8" t="s">
        <v>204</v>
      </c>
      <c r="B18" s="8" t="s">
        <v>205</v>
      </c>
      <c r="C18" s="8" t="s">
        <v>206</v>
      </c>
      <c r="D18" s="8" t="s">
        <v>120</v>
      </c>
      <c r="E18" s="8" t="s">
        <v>207</v>
      </c>
      <c r="F18" s="8" t="s">
        <v>65</v>
      </c>
      <c r="G18" s="8" t="s">
        <v>66</v>
      </c>
      <c r="H18" s="8" t="s">
        <v>208</v>
      </c>
      <c r="I18" s="9" t="n">
        <v>2</v>
      </c>
      <c r="J18" s="8" t="s">
        <v>209</v>
      </c>
      <c r="K18" s="8" t="s">
        <v>210</v>
      </c>
      <c r="L18" s="10" t="s">
        <v>211</v>
      </c>
      <c r="M18" s="8" t="s">
        <v>212</v>
      </c>
      <c r="N18" s="8" t="s">
        <v>213</v>
      </c>
      <c r="O18" s="8" t="s">
        <v>214</v>
      </c>
      <c r="P18" s="8"/>
      <c r="Q18" s="9" t="s">
        <v>204</v>
      </c>
      <c r="R18" s="8" t="s">
        <v>103</v>
      </c>
      <c r="S18" s="8" t="s">
        <v>215</v>
      </c>
      <c r="T18" s="11" t="s">
        <v>77</v>
      </c>
      <c r="U18" s="8" t="s">
        <v>216</v>
      </c>
      <c r="V18" s="8" t="s">
        <v>217</v>
      </c>
      <c r="W18" s="8" t="n">
        <v>2</v>
      </c>
      <c r="X18" s="8" t="s">
        <v>218</v>
      </c>
      <c r="Y18" s="8" t="s">
        <v>219</v>
      </c>
      <c r="Z18" s="8" t="s">
        <v>220</v>
      </c>
      <c r="AA18" s="11" t="s">
        <v>221</v>
      </c>
      <c r="AB18" s="8"/>
    </row>
    <row r="19" customFormat="false" ht="23.25" hidden="false" customHeight="true" outlineLevel="0" collapsed="false">
      <c r="A19" s="8" t="s">
        <v>222</v>
      </c>
      <c r="B19" s="8" t="s">
        <v>223</v>
      </c>
      <c r="C19" s="8" t="s">
        <v>206</v>
      </c>
      <c r="D19" s="8" t="s">
        <v>114</v>
      </c>
      <c r="E19" s="8" t="s">
        <v>207</v>
      </c>
      <c r="F19" s="8" t="s">
        <v>65</v>
      </c>
      <c r="G19" s="8" t="s">
        <v>66</v>
      </c>
      <c r="H19" s="8" t="s">
        <v>208</v>
      </c>
      <c r="I19" s="9" t="n">
        <v>2</v>
      </c>
      <c r="J19" s="8" t="s">
        <v>224</v>
      </c>
      <c r="K19" s="8" t="s">
        <v>210</v>
      </c>
      <c r="L19" s="10" t="s">
        <v>225</v>
      </c>
      <c r="M19" s="8" t="s">
        <v>226</v>
      </c>
      <c r="N19" s="8" t="s">
        <v>227</v>
      </c>
      <c r="O19" s="8" t="s">
        <v>214</v>
      </c>
      <c r="P19" s="8"/>
      <c r="Q19" s="9" t="s">
        <v>222</v>
      </c>
      <c r="R19" s="8" t="s">
        <v>103</v>
      </c>
      <c r="S19" s="8" t="s">
        <v>215</v>
      </c>
      <c r="T19" s="11" t="s">
        <v>77</v>
      </c>
      <c r="U19" s="8" t="s">
        <v>216</v>
      </c>
      <c r="V19" s="8" t="s">
        <v>217</v>
      </c>
      <c r="W19" s="8" t="n">
        <v>2</v>
      </c>
      <c r="X19" s="8" t="s">
        <v>218</v>
      </c>
      <c r="Y19" s="8" t="s">
        <v>219</v>
      </c>
      <c r="Z19" s="8" t="s">
        <v>220</v>
      </c>
      <c r="AA19" s="11" t="s">
        <v>221</v>
      </c>
      <c r="AB19" s="8"/>
    </row>
    <row r="20" customFormat="false" ht="15" hidden="false" customHeight="true" outlineLevel="0" collapsed="false">
      <c r="A20" s="8" t="s">
        <v>228</v>
      </c>
      <c r="B20" s="8" t="s">
        <v>229</v>
      </c>
      <c r="C20" s="8" t="s">
        <v>206</v>
      </c>
      <c r="D20" s="8" t="s">
        <v>114</v>
      </c>
      <c r="E20" s="8" t="s">
        <v>207</v>
      </c>
      <c r="F20" s="8" t="s">
        <v>65</v>
      </c>
      <c r="G20" s="8" t="s">
        <v>66</v>
      </c>
      <c r="H20" s="8" t="s">
        <v>208</v>
      </c>
      <c r="I20" s="9" t="n">
        <v>2</v>
      </c>
      <c r="J20" s="8" t="s">
        <v>230</v>
      </c>
      <c r="K20" s="8" t="s">
        <v>231</v>
      </c>
      <c r="L20" s="10" t="s">
        <v>225</v>
      </c>
      <c r="M20" s="8" t="s">
        <v>232</v>
      </c>
      <c r="N20" s="8" t="s">
        <v>233</v>
      </c>
      <c r="O20" s="8" t="s">
        <v>214</v>
      </c>
      <c r="P20" s="8"/>
      <c r="Q20" s="9" t="s">
        <v>228</v>
      </c>
      <c r="R20" s="8" t="s">
        <v>103</v>
      </c>
      <c r="S20" s="8" t="s">
        <v>215</v>
      </c>
      <c r="T20" s="11" t="s">
        <v>77</v>
      </c>
      <c r="U20" s="8" t="s">
        <v>216</v>
      </c>
      <c r="V20" s="8" t="s">
        <v>217</v>
      </c>
      <c r="W20" s="8" t="n">
        <v>2</v>
      </c>
      <c r="X20" s="8" t="s">
        <v>218</v>
      </c>
      <c r="Y20" s="8" t="s">
        <v>219</v>
      </c>
      <c r="Z20" s="8" t="s">
        <v>220</v>
      </c>
      <c r="AA20" s="11"/>
      <c r="AB20" s="8"/>
    </row>
    <row r="21" customFormat="false" ht="15" hidden="false" customHeight="true" outlineLevel="0" collapsed="false">
      <c r="A21" s="8" t="s">
        <v>234</v>
      </c>
      <c r="B21" s="8" t="s">
        <v>235</v>
      </c>
      <c r="C21" s="8" t="s">
        <v>206</v>
      </c>
      <c r="D21" s="8" t="s">
        <v>141</v>
      </c>
      <c r="E21" s="8" t="s">
        <v>207</v>
      </c>
      <c r="F21" s="8" t="s">
        <v>65</v>
      </c>
      <c r="G21" s="8" t="s">
        <v>66</v>
      </c>
      <c r="H21" s="8" t="s">
        <v>208</v>
      </c>
      <c r="I21" s="9" t="n">
        <v>2</v>
      </c>
      <c r="J21" s="8" t="s">
        <v>236</v>
      </c>
      <c r="K21" s="8" t="s">
        <v>210</v>
      </c>
      <c r="L21" s="10" t="s">
        <v>225</v>
      </c>
      <c r="M21" s="8" t="s">
        <v>237</v>
      </c>
      <c r="N21" s="8" t="s">
        <v>238</v>
      </c>
      <c r="O21" s="8" t="s">
        <v>214</v>
      </c>
      <c r="P21" s="8"/>
      <c r="Q21" s="9" t="s">
        <v>234</v>
      </c>
      <c r="R21" s="8" t="s">
        <v>103</v>
      </c>
      <c r="S21" s="8" t="s">
        <v>215</v>
      </c>
      <c r="T21" s="11" t="s">
        <v>77</v>
      </c>
      <c r="U21" s="8" t="s">
        <v>216</v>
      </c>
      <c r="V21" s="8" t="s">
        <v>217</v>
      </c>
      <c r="W21" s="8" t="n">
        <v>2</v>
      </c>
      <c r="X21" s="8" t="s">
        <v>218</v>
      </c>
      <c r="Y21" s="8" t="s">
        <v>219</v>
      </c>
      <c r="Z21" s="8" t="s">
        <v>220</v>
      </c>
      <c r="AA21" s="11"/>
      <c r="AB21" s="8"/>
    </row>
    <row r="22" customFormat="false" ht="23.25" hidden="false" customHeight="true" outlineLevel="0" collapsed="false">
      <c r="A22" s="8" t="s">
        <v>239</v>
      </c>
      <c r="B22" s="8" t="s">
        <v>240</v>
      </c>
      <c r="C22" s="8" t="s">
        <v>206</v>
      </c>
      <c r="D22" s="8" t="s">
        <v>241</v>
      </c>
      <c r="E22" s="8" t="s">
        <v>207</v>
      </c>
      <c r="F22" s="8" t="s">
        <v>65</v>
      </c>
      <c r="G22" s="8" t="s">
        <v>66</v>
      </c>
      <c r="H22" s="8" t="s">
        <v>208</v>
      </c>
      <c r="I22" s="9" t="n">
        <v>2</v>
      </c>
      <c r="J22" s="8" t="s">
        <v>242</v>
      </c>
      <c r="K22" s="8" t="s">
        <v>231</v>
      </c>
      <c r="L22" s="10" t="s">
        <v>225</v>
      </c>
      <c r="M22" s="8" t="s">
        <v>243</v>
      </c>
      <c r="N22" s="8" t="s">
        <v>244</v>
      </c>
      <c r="O22" s="8" t="s">
        <v>214</v>
      </c>
      <c r="P22" s="8"/>
      <c r="Q22" s="9" t="s">
        <v>239</v>
      </c>
      <c r="R22" s="8" t="s">
        <v>103</v>
      </c>
      <c r="S22" s="8" t="s">
        <v>215</v>
      </c>
      <c r="T22" s="11" t="s">
        <v>77</v>
      </c>
      <c r="U22" s="8" t="s">
        <v>245</v>
      </c>
      <c r="V22" s="8" t="s">
        <v>79</v>
      </c>
      <c r="W22" s="8" t="n">
        <v>2</v>
      </c>
      <c r="X22" s="8" t="s">
        <v>246</v>
      </c>
      <c r="Y22" s="8" t="s">
        <v>247</v>
      </c>
      <c r="Z22" s="8" t="s">
        <v>248</v>
      </c>
      <c r="AA22" s="11"/>
      <c r="AB22" s="8"/>
    </row>
    <row r="23" customFormat="false" ht="23.25" hidden="false" customHeight="true" outlineLevel="0" collapsed="false">
      <c r="A23" s="8" t="s">
        <v>249</v>
      </c>
      <c r="B23" s="8" t="s">
        <v>250</v>
      </c>
      <c r="C23" s="8" t="s">
        <v>251</v>
      </c>
      <c r="D23" s="8" t="s">
        <v>120</v>
      </c>
      <c r="E23" s="8" t="s">
        <v>207</v>
      </c>
      <c r="F23" s="8" t="s">
        <v>65</v>
      </c>
      <c r="G23" s="8" t="s">
        <v>66</v>
      </c>
      <c r="H23" s="8" t="s">
        <v>208</v>
      </c>
      <c r="I23" s="9" t="n">
        <v>2</v>
      </c>
      <c r="J23" s="8" t="s">
        <v>236</v>
      </c>
      <c r="K23" s="8" t="s">
        <v>252</v>
      </c>
      <c r="L23" s="10" t="s">
        <v>253</v>
      </c>
      <c r="M23" s="8" t="s">
        <v>254</v>
      </c>
      <c r="N23" s="8" t="s">
        <v>255</v>
      </c>
      <c r="O23" s="8" t="s">
        <v>214</v>
      </c>
      <c r="P23" s="8" t="s">
        <v>256</v>
      </c>
      <c r="Q23" s="9" t="s">
        <v>249</v>
      </c>
      <c r="R23" s="8" t="s">
        <v>75</v>
      </c>
      <c r="S23" s="8" t="s">
        <v>215</v>
      </c>
      <c r="T23" s="11" t="s">
        <v>77</v>
      </c>
      <c r="U23" s="8" t="s">
        <v>216</v>
      </c>
      <c r="V23" s="8" t="s">
        <v>217</v>
      </c>
      <c r="W23" s="8" t="n">
        <v>2</v>
      </c>
      <c r="X23" s="8" t="s">
        <v>218</v>
      </c>
      <c r="Y23" s="8" t="s">
        <v>219</v>
      </c>
      <c r="Z23" s="8" t="s">
        <v>220</v>
      </c>
      <c r="AA23" s="11" t="s">
        <v>257</v>
      </c>
      <c r="AB23" s="8" t="s">
        <v>258</v>
      </c>
    </row>
    <row r="24" customFormat="false" ht="23.25" hidden="false" customHeight="true" outlineLevel="0" collapsed="false">
      <c r="A24" s="8" t="s">
        <v>259</v>
      </c>
      <c r="B24" s="8" t="s">
        <v>260</v>
      </c>
      <c r="C24" s="8" t="s">
        <v>251</v>
      </c>
      <c r="D24" s="8" t="s">
        <v>107</v>
      </c>
      <c r="E24" s="8" t="s">
        <v>207</v>
      </c>
      <c r="F24" s="8" t="s">
        <v>65</v>
      </c>
      <c r="G24" s="8" t="s">
        <v>66</v>
      </c>
      <c r="H24" s="8" t="s">
        <v>208</v>
      </c>
      <c r="I24" s="9" t="n">
        <v>2</v>
      </c>
      <c r="J24" s="8" t="s">
        <v>236</v>
      </c>
      <c r="K24" s="8" t="s">
        <v>252</v>
      </c>
      <c r="L24" s="10" t="s">
        <v>253</v>
      </c>
      <c r="M24" s="8" t="s">
        <v>261</v>
      </c>
      <c r="N24" s="8" t="s">
        <v>262</v>
      </c>
      <c r="O24" s="8" t="s">
        <v>214</v>
      </c>
      <c r="P24" s="8" t="s">
        <v>60</v>
      </c>
      <c r="Q24" s="9" t="s">
        <v>259</v>
      </c>
      <c r="R24" s="8" t="s">
        <v>75</v>
      </c>
      <c r="S24" s="8" t="s">
        <v>215</v>
      </c>
      <c r="T24" s="11" t="s">
        <v>77</v>
      </c>
      <c r="U24" s="8" t="s">
        <v>216</v>
      </c>
      <c r="V24" s="8" t="s">
        <v>217</v>
      </c>
      <c r="W24" s="8" t="n">
        <v>2</v>
      </c>
      <c r="X24" s="8" t="s">
        <v>218</v>
      </c>
      <c r="Y24" s="8" t="s">
        <v>219</v>
      </c>
      <c r="Z24" s="8" t="s">
        <v>220</v>
      </c>
      <c r="AA24" s="11" t="s">
        <v>257</v>
      </c>
      <c r="AB24" s="8" t="s">
        <v>258</v>
      </c>
    </row>
    <row r="25" customFormat="false" ht="23.25" hidden="false" customHeight="true" outlineLevel="0" collapsed="false">
      <c r="A25" s="8" t="s">
        <v>263</v>
      </c>
      <c r="B25" s="8" t="s">
        <v>264</v>
      </c>
      <c r="C25" s="8" t="s">
        <v>265</v>
      </c>
      <c r="D25" s="8" t="s">
        <v>120</v>
      </c>
      <c r="E25" s="8" t="s">
        <v>207</v>
      </c>
      <c r="F25" s="8" t="s">
        <v>266</v>
      </c>
      <c r="G25" s="8" t="s">
        <v>66</v>
      </c>
      <c r="H25" s="8" t="s">
        <v>208</v>
      </c>
      <c r="I25" s="9" t="n">
        <v>2</v>
      </c>
      <c r="J25" s="8" t="s">
        <v>267</v>
      </c>
      <c r="K25" s="8" t="s">
        <v>231</v>
      </c>
      <c r="L25" s="10" t="s">
        <v>268</v>
      </c>
      <c r="M25" s="8" t="s">
        <v>269</v>
      </c>
      <c r="N25" s="8" t="s">
        <v>270</v>
      </c>
      <c r="O25" s="8" t="s">
        <v>214</v>
      </c>
      <c r="P25" s="8"/>
      <c r="Q25" s="9" t="s">
        <v>263</v>
      </c>
      <c r="R25" s="8" t="s">
        <v>103</v>
      </c>
      <c r="S25" s="8" t="s">
        <v>215</v>
      </c>
      <c r="T25" s="11" t="s">
        <v>77</v>
      </c>
      <c r="U25" s="8" t="s">
        <v>216</v>
      </c>
      <c r="V25" s="8" t="s">
        <v>217</v>
      </c>
      <c r="W25" s="8" t="n">
        <v>2</v>
      </c>
      <c r="X25" s="8" t="s">
        <v>218</v>
      </c>
      <c r="Y25" s="8" t="s">
        <v>219</v>
      </c>
      <c r="Z25" s="8" t="s">
        <v>220</v>
      </c>
      <c r="AA25" s="11" t="s">
        <v>257</v>
      </c>
      <c r="AB25" s="8" t="s">
        <v>271</v>
      </c>
    </row>
    <row r="26" customFormat="false" ht="23.25" hidden="false" customHeight="true" outlineLevel="0" collapsed="false">
      <c r="A26" s="8" t="s">
        <v>272</v>
      </c>
      <c r="B26" s="8" t="s">
        <v>273</v>
      </c>
      <c r="C26" s="8" t="s">
        <v>85</v>
      </c>
      <c r="D26" s="8" t="s">
        <v>63</v>
      </c>
      <c r="E26" s="8" t="s">
        <v>274</v>
      </c>
      <c r="F26" s="8" t="s">
        <v>266</v>
      </c>
      <c r="G26" s="8" t="s">
        <v>86</v>
      </c>
      <c r="H26" s="8" t="s">
        <v>67</v>
      </c>
      <c r="I26" s="9" t="n">
        <v>1</v>
      </c>
      <c r="J26" s="8" t="s">
        <v>68</v>
      </c>
      <c r="K26" s="8" t="s">
        <v>69</v>
      </c>
      <c r="L26" s="10" t="s">
        <v>275</v>
      </c>
      <c r="M26" s="8" t="s">
        <v>276</v>
      </c>
      <c r="N26" s="8" t="s">
        <v>277</v>
      </c>
      <c r="O26" s="8" t="s">
        <v>129</v>
      </c>
      <c r="P26" s="8" t="s">
        <v>278</v>
      </c>
      <c r="Q26" s="9" t="s">
        <v>278</v>
      </c>
      <c r="R26" s="8" t="s">
        <v>92</v>
      </c>
      <c r="S26" s="8" t="s">
        <v>93</v>
      </c>
      <c r="T26" s="11" t="s">
        <v>77</v>
      </c>
      <c r="U26" s="8" t="s">
        <v>279</v>
      </c>
      <c r="V26" s="8" t="s">
        <v>79</v>
      </c>
      <c r="W26" s="8" t="n">
        <v>2</v>
      </c>
      <c r="X26" s="8" t="s">
        <v>280</v>
      </c>
      <c r="Y26" s="8" t="s">
        <v>219</v>
      </c>
      <c r="Z26" s="8" t="s">
        <v>281</v>
      </c>
      <c r="AA26" s="11"/>
      <c r="AB26" s="8"/>
    </row>
    <row r="27" customFormat="false" ht="23.25" hidden="false" customHeight="true" outlineLevel="0" collapsed="false">
      <c r="A27" s="8" t="s">
        <v>282</v>
      </c>
      <c r="B27" s="8" t="s">
        <v>283</v>
      </c>
      <c r="C27" s="8" t="s">
        <v>85</v>
      </c>
      <c r="D27" s="8" t="s">
        <v>107</v>
      </c>
      <c r="E27" s="8" t="s">
        <v>274</v>
      </c>
      <c r="F27" s="8" t="s">
        <v>266</v>
      </c>
      <c r="G27" s="8" t="s">
        <v>66</v>
      </c>
      <c r="H27" s="8" t="s">
        <v>67</v>
      </c>
      <c r="I27" s="9" t="n">
        <v>1</v>
      </c>
      <c r="J27" s="8" t="s">
        <v>230</v>
      </c>
      <c r="K27" s="8" t="s">
        <v>69</v>
      </c>
      <c r="L27" s="10" t="s">
        <v>284</v>
      </c>
      <c r="M27" s="8" t="s">
        <v>285</v>
      </c>
      <c r="N27" s="8" t="s">
        <v>286</v>
      </c>
      <c r="O27" s="8" t="s">
        <v>102</v>
      </c>
      <c r="P27" s="8"/>
      <c r="Q27" s="9" t="s">
        <v>282</v>
      </c>
      <c r="R27" s="8" t="s">
        <v>103</v>
      </c>
      <c r="S27" s="8" t="s">
        <v>215</v>
      </c>
      <c r="T27" s="11" t="s">
        <v>77</v>
      </c>
      <c r="U27" s="8" t="s">
        <v>279</v>
      </c>
      <c r="V27" s="8" t="s">
        <v>217</v>
      </c>
      <c r="W27" s="8" t="n">
        <v>2</v>
      </c>
      <c r="X27" s="8" t="s">
        <v>280</v>
      </c>
      <c r="Y27" s="8" t="s">
        <v>219</v>
      </c>
      <c r="Z27" s="8" t="s">
        <v>281</v>
      </c>
      <c r="AA27" s="11" t="s">
        <v>287</v>
      </c>
      <c r="AB27" s="8"/>
    </row>
    <row r="28" customFormat="false" ht="23.25" hidden="false" customHeight="true" outlineLevel="0" collapsed="false">
      <c r="A28" s="8" t="s">
        <v>288</v>
      </c>
      <c r="B28" s="8" t="s">
        <v>289</v>
      </c>
      <c r="C28" s="8" t="s">
        <v>290</v>
      </c>
      <c r="D28" s="8" t="s">
        <v>63</v>
      </c>
      <c r="E28" s="8" t="s">
        <v>274</v>
      </c>
      <c r="F28" s="8" t="s">
        <v>266</v>
      </c>
      <c r="G28" s="8" t="s">
        <v>86</v>
      </c>
      <c r="H28" s="8" t="s">
        <v>67</v>
      </c>
      <c r="I28" s="9" t="n">
        <v>1</v>
      </c>
      <c r="J28" s="8" t="s">
        <v>291</v>
      </c>
      <c r="K28" s="8" t="s">
        <v>69</v>
      </c>
      <c r="L28" s="10" t="s">
        <v>292</v>
      </c>
      <c r="M28" s="8" t="s">
        <v>293</v>
      </c>
      <c r="N28" s="8" t="s">
        <v>294</v>
      </c>
      <c r="O28" s="8" t="s">
        <v>102</v>
      </c>
      <c r="P28" s="8"/>
      <c r="Q28" s="9" t="s">
        <v>288</v>
      </c>
      <c r="R28" s="8" t="s">
        <v>103</v>
      </c>
      <c r="S28" s="8" t="s">
        <v>104</v>
      </c>
      <c r="T28" s="11" t="s">
        <v>77</v>
      </c>
      <c r="U28" s="8" t="s">
        <v>279</v>
      </c>
      <c r="V28" s="8" t="s">
        <v>217</v>
      </c>
      <c r="W28" s="8" t="n">
        <v>2</v>
      </c>
      <c r="X28" s="8" t="s">
        <v>280</v>
      </c>
      <c r="Y28" s="8" t="s">
        <v>219</v>
      </c>
      <c r="Z28" s="8" t="s">
        <v>281</v>
      </c>
      <c r="AA28" s="11"/>
      <c r="AB28" s="8"/>
    </row>
    <row r="29" customFormat="false" ht="15" hidden="false" customHeight="true" outlineLevel="0" collapsed="false">
      <c r="A29" s="8" t="s">
        <v>278</v>
      </c>
      <c r="B29" s="8" t="s">
        <v>295</v>
      </c>
      <c r="C29" s="8" t="s">
        <v>296</v>
      </c>
      <c r="D29" s="8" t="s">
        <v>63</v>
      </c>
      <c r="E29" s="8" t="s">
        <v>274</v>
      </c>
      <c r="F29" s="8" t="s">
        <v>266</v>
      </c>
      <c r="G29" s="8" t="s">
        <v>86</v>
      </c>
      <c r="H29" s="8" t="s">
        <v>67</v>
      </c>
      <c r="I29" s="9" t="n">
        <v>1</v>
      </c>
      <c r="J29" s="8" t="s">
        <v>68</v>
      </c>
      <c r="K29" s="8" t="s">
        <v>87</v>
      </c>
      <c r="L29" s="10" t="s">
        <v>297</v>
      </c>
      <c r="M29" s="8" t="s">
        <v>298</v>
      </c>
      <c r="N29" s="8" t="s">
        <v>299</v>
      </c>
      <c r="O29" s="8" t="s">
        <v>102</v>
      </c>
      <c r="P29" s="8"/>
      <c r="Q29" s="9" t="s">
        <v>278</v>
      </c>
      <c r="R29" s="8" t="s">
        <v>103</v>
      </c>
      <c r="S29" s="8" t="s">
        <v>104</v>
      </c>
      <c r="T29" s="11" t="s">
        <v>77</v>
      </c>
      <c r="U29" s="8" t="s">
        <v>279</v>
      </c>
      <c r="V29" s="8" t="s">
        <v>79</v>
      </c>
      <c r="W29" s="8" t="n">
        <v>2</v>
      </c>
      <c r="X29" s="8" t="s">
        <v>280</v>
      </c>
      <c r="Y29" s="8" t="s">
        <v>219</v>
      </c>
      <c r="Z29" s="8" t="s">
        <v>281</v>
      </c>
      <c r="AA29" s="11"/>
      <c r="AB29" s="8"/>
    </row>
    <row r="30" customFormat="false" ht="15" hidden="false" customHeight="true" outlineLevel="0" collapsed="false">
      <c r="A30" s="8" t="s">
        <v>300</v>
      </c>
      <c r="B30" s="8" t="s">
        <v>301</v>
      </c>
      <c r="C30" s="8" t="s">
        <v>302</v>
      </c>
      <c r="D30" s="8" t="s">
        <v>63</v>
      </c>
      <c r="E30" s="8" t="s">
        <v>274</v>
      </c>
      <c r="F30" s="8" t="s">
        <v>266</v>
      </c>
      <c r="G30" s="8" t="s">
        <v>156</v>
      </c>
      <c r="H30" s="8" t="s">
        <v>67</v>
      </c>
      <c r="I30" s="9" t="n">
        <v>1</v>
      </c>
      <c r="J30" s="8" t="s">
        <v>303</v>
      </c>
      <c r="K30" s="8" t="s">
        <v>304</v>
      </c>
      <c r="L30" s="10" t="s">
        <v>305</v>
      </c>
      <c r="M30" s="8" t="s">
        <v>306</v>
      </c>
      <c r="N30" s="8" t="s">
        <v>307</v>
      </c>
      <c r="O30" s="8" t="s">
        <v>129</v>
      </c>
      <c r="P30" s="8" t="s">
        <v>278</v>
      </c>
      <c r="Q30" s="9" t="s">
        <v>300</v>
      </c>
      <c r="R30" s="8" t="s">
        <v>75</v>
      </c>
      <c r="S30" s="8" t="s">
        <v>104</v>
      </c>
      <c r="T30" s="11" t="s">
        <v>77</v>
      </c>
      <c r="U30" s="8" t="s">
        <v>279</v>
      </c>
      <c r="V30" s="8" t="s">
        <v>79</v>
      </c>
      <c r="W30" s="8" t="n">
        <v>2</v>
      </c>
      <c r="X30" s="8" t="s">
        <v>280</v>
      </c>
      <c r="Y30" s="8" t="s">
        <v>219</v>
      </c>
      <c r="Z30" s="8" t="s">
        <v>281</v>
      </c>
      <c r="AA30" s="11"/>
      <c r="AB30" s="8"/>
    </row>
    <row r="31" customFormat="false" ht="15" hidden="false" customHeight="true" outlineLevel="0" collapsed="false">
      <c r="A31" s="8" t="s">
        <v>308</v>
      </c>
      <c r="B31" s="8" t="s">
        <v>309</v>
      </c>
      <c r="C31" s="8" t="s">
        <v>310</v>
      </c>
      <c r="D31" s="8" t="s">
        <v>120</v>
      </c>
      <c r="E31" s="8" t="s">
        <v>274</v>
      </c>
      <c r="F31" s="8" t="s">
        <v>176</v>
      </c>
      <c r="G31" s="8" t="s">
        <v>86</v>
      </c>
      <c r="H31" s="8" t="s">
        <v>311</v>
      </c>
      <c r="I31" s="9" t="n">
        <v>3</v>
      </c>
      <c r="J31" s="8" t="s">
        <v>68</v>
      </c>
      <c r="K31" s="8" t="s">
        <v>312</v>
      </c>
      <c r="L31" s="10" t="s">
        <v>313</v>
      </c>
      <c r="M31" s="8" t="s">
        <v>314</v>
      </c>
      <c r="N31" s="8" t="s">
        <v>315</v>
      </c>
      <c r="O31" s="8" t="s">
        <v>73</v>
      </c>
      <c r="P31" s="8" t="s">
        <v>316</v>
      </c>
      <c r="Q31" s="9" t="s">
        <v>278</v>
      </c>
      <c r="R31" s="8" t="s">
        <v>75</v>
      </c>
      <c r="S31" s="8" t="s">
        <v>131</v>
      </c>
      <c r="T31" s="11" t="s">
        <v>77</v>
      </c>
      <c r="U31" s="8" t="s">
        <v>279</v>
      </c>
      <c r="V31" s="8" t="s">
        <v>132</v>
      </c>
      <c r="W31" s="8" t="n">
        <v>1</v>
      </c>
      <c r="X31" s="8" t="s">
        <v>280</v>
      </c>
      <c r="Y31" s="8" t="s">
        <v>219</v>
      </c>
      <c r="Z31" s="8" t="s">
        <v>281</v>
      </c>
      <c r="AA31" s="11"/>
      <c r="AB31" s="8"/>
    </row>
    <row r="32" customFormat="false" ht="15" hidden="false" customHeight="true" outlineLevel="0" collapsed="false">
      <c r="A32" s="8" t="s">
        <v>317</v>
      </c>
      <c r="B32" s="8" t="s">
        <v>318</v>
      </c>
      <c r="C32" s="8" t="s">
        <v>319</v>
      </c>
      <c r="D32" s="8" t="s">
        <v>63</v>
      </c>
      <c r="E32" s="8" t="s">
        <v>64</v>
      </c>
      <c r="F32" s="8" t="s">
        <v>65</v>
      </c>
      <c r="G32" s="8" t="s">
        <v>156</v>
      </c>
      <c r="H32" s="8" t="s">
        <v>67</v>
      </c>
      <c r="I32" s="9" t="n">
        <v>1</v>
      </c>
      <c r="J32" s="8" t="s">
        <v>157</v>
      </c>
      <c r="K32" s="8" t="s">
        <v>87</v>
      </c>
      <c r="L32" s="10" t="s">
        <v>320</v>
      </c>
      <c r="M32" s="8" t="s">
        <v>321</v>
      </c>
      <c r="N32" s="8" t="s">
        <v>322</v>
      </c>
      <c r="O32" s="8" t="s">
        <v>129</v>
      </c>
      <c r="P32" s="8"/>
      <c r="Q32" s="9" t="s">
        <v>317</v>
      </c>
      <c r="R32" s="8" t="s">
        <v>75</v>
      </c>
      <c r="S32" s="8" t="s">
        <v>104</v>
      </c>
      <c r="T32" s="11" t="s">
        <v>77</v>
      </c>
      <c r="U32" s="8" t="s">
        <v>78</v>
      </c>
      <c r="V32" s="8" t="s">
        <v>79</v>
      </c>
      <c r="W32" s="8" t="n">
        <v>2</v>
      </c>
      <c r="X32" s="8" t="s">
        <v>80</v>
      </c>
      <c r="Y32" s="8" t="s">
        <v>81</v>
      </c>
      <c r="Z32" s="8" t="s">
        <v>82</v>
      </c>
      <c r="AA32" s="11"/>
      <c r="AB32" s="8"/>
    </row>
    <row r="33" customFormat="false" ht="15" hidden="false" customHeight="true" outlineLevel="0" collapsed="false">
      <c r="A33" s="8" t="s">
        <v>323</v>
      </c>
      <c r="B33" s="8" t="s">
        <v>324</v>
      </c>
      <c r="C33" s="8" t="s">
        <v>319</v>
      </c>
      <c r="D33" s="8" t="s">
        <v>63</v>
      </c>
      <c r="E33" s="8" t="s">
        <v>207</v>
      </c>
      <c r="F33" s="8" t="s">
        <v>65</v>
      </c>
      <c r="G33" s="8" t="s">
        <v>66</v>
      </c>
      <c r="H33" s="8" t="s">
        <v>67</v>
      </c>
      <c r="I33" s="9" t="n">
        <v>1</v>
      </c>
      <c r="J33" s="8" t="s">
        <v>68</v>
      </c>
      <c r="K33" s="8" t="s">
        <v>69</v>
      </c>
      <c r="L33" s="10" t="s">
        <v>325</v>
      </c>
      <c r="M33" s="8" t="s">
        <v>326</v>
      </c>
      <c r="N33" s="8" t="s">
        <v>327</v>
      </c>
      <c r="O33" s="8" t="s">
        <v>129</v>
      </c>
      <c r="P33" s="8"/>
      <c r="Q33" s="9" t="s">
        <v>323</v>
      </c>
      <c r="R33" s="8" t="s">
        <v>75</v>
      </c>
      <c r="S33" s="8" t="s">
        <v>93</v>
      </c>
      <c r="T33" s="11" t="s">
        <v>77</v>
      </c>
      <c r="U33" s="8" t="s">
        <v>216</v>
      </c>
      <c r="V33" s="8" t="s">
        <v>79</v>
      </c>
      <c r="W33" s="8" t="n">
        <v>2</v>
      </c>
      <c r="X33" s="8" t="s">
        <v>218</v>
      </c>
      <c r="Y33" s="8" t="s">
        <v>219</v>
      </c>
      <c r="Z33" s="8" t="s">
        <v>220</v>
      </c>
      <c r="AA33" s="11"/>
      <c r="AB33" s="8"/>
    </row>
    <row r="34" customFormat="false" ht="15" hidden="false" customHeight="true" outlineLevel="0" collapsed="false">
      <c r="A34" s="8" t="s">
        <v>328</v>
      </c>
      <c r="B34" s="8" t="s">
        <v>329</v>
      </c>
      <c r="C34" s="8" t="s">
        <v>330</v>
      </c>
      <c r="D34" s="8" t="s">
        <v>63</v>
      </c>
      <c r="E34" s="8" t="s">
        <v>331</v>
      </c>
      <c r="F34" s="8" t="s">
        <v>176</v>
      </c>
      <c r="G34" s="8" t="s">
        <v>156</v>
      </c>
      <c r="H34" s="8" t="s">
        <v>311</v>
      </c>
      <c r="I34" s="9" t="n">
        <v>2</v>
      </c>
      <c r="J34" s="8" t="s">
        <v>157</v>
      </c>
      <c r="K34" s="8" t="s">
        <v>69</v>
      </c>
      <c r="L34" s="10" t="s">
        <v>332</v>
      </c>
      <c r="M34" s="8" t="s">
        <v>333</v>
      </c>
      <c r="N34" s="8" t="s">
        <v>334</v>
      </c>
      <c r="O34" s="8" t="s">
        <v>73</v>
      </c>
      <c r="P34" s="8" t="s">
        <v>335</v>
      </c>
      <c r="Q34" s="9" t="s">
        <v>328</v>
      </c>
      <c r="R34" s="8" t="s">
        <v>75</v>
      </c>
      <c r="S34" s="8" t="s">
        <v>76</v>
      </c>
      <c r="T34" s="11" t="s">
        <v>77</v>
      </c>
      <c r="U34" s="8" t="s">
        <v>78</v>
      </c>
      <c r="V34" s="8" t="s">
        <v>132</v>
      </c>
      <c r="W34" s="8" t="n">
        <v>1</v>
      </c>
      <c r="X34" s="8" t="s">
        <v>80</v>
      </c>
      <c r="Y34" s="8" t="s">
        <v>81</v>
      </c>
      <c r="Z34" s="8" t="s">
        <v>82</v>
      </c>
      <c r="AA34" s="11"/>
      <c r="AB34" s="8"/>
    </row>
    <row r="35" customFormat="false" ht="15" hidden="false" customHeight="true" outlineLevel="0" collapsed="false">
      <c r="A35" s="8" t="s">
        <v>336</v>
      </c>
      <c r="B35" s="8" t="s">
        <v>337</v>
      </c>
      <c r="C35" s="8" t="s">
        <v>338</v>
      </c>
      <c r="D35" s="8" t="s">
        <v>63</v>
      </c>
      <c r="E35" s="8" t="s">
        <v>331</v>
      </c>
      <c r="F35" s="8" t="s">
        <v>65</v>
      </c>
      <c r="G35" s="8" t="s">
        <v>156</v>
      </c>
      <c r="H35" s="8" t="s">
        <v>311</v>
      </c>
      <c r="I35" s="9" t="n">
        <v>2</v>
      </c>
      <c r="J35" s="8" t="s">
        <v>157</v>
      </c>
      <c r="K35" s="8" t="s">
        <v>69</v>
      </c>
      <c r="L35" s="10" t="s">
        <v>339</v>
      </c>
      <c r="M35" s="8" t="s">
        <v>340</v>
      </c>
      <c r="N35" s="8" t="s">
        <v>341</v>
      </c>
      <c r="O35" s="8" t="s">
        <v>73</v>
      </c>
      <c r="P35" s="8" t="s">
        <v>342</v>
      </c>
      <c r="Q35" s="9" t="s">
        <v>60</v>
      </c>
      <c r="R35" s="8" t="s">
        <v>75</v>
      </c>
      <c r="S35" s="8" t="s">
        <v>76</v>
      </c>
      <c r="T35" s="11" t="s">
        <v>77</v>
      </c>
      <c r="U35" s="8" t="s">
        <v>78</v>
      </c>
      <c r="V35" s="8" t="s">
        <v>132</v>
      </c>
      <c r="W35" s="8" t="n">
        <v>1</v>
      </c>
      <c r="X35" s="8" t="s">
        <v>80</v>
      </c>
      <c r="Y35" s="8" t="s">
        <v>81</v>
      </c>
      <c r="Z35" s="8" t="s">
        <v>82</v>
      </c>
      <c r="AA35" s="11"/>
      <c r="AB35" s="8"/>
    </row>
    <row r="36" customFormat="false" ht="15" hidden="false" customHeight="true" outlineLevel="0" collapsed="false">
      <c r="A36" s="8" t="s">
        <v>343</v>
      </c>
      <c r="B36" s="8" t="s">
        <v>344</v>
      </c>
      <c r="C36" s="8" t="s">
        <v>345</v>
      </c>
      <c r="D36" s="8" t="s">
        <v>107</v>
      </c>
      <c r="E36" s="8" t="s">
        <v>148</v>
      </c>
      <c r="F36" s="8" t="s">
        <v>346</v>
      </c>
      <c r="G36" s="8" t="s">
        <v>66</v>
      </c>
      <c r="H36" s="8" t="s">
        <v>67</v>
      </c>
      <c r="I36" s="9" t="n">
        <v>1</v>
      </c>
      <c r="J36" s="8" t="s">
        <v>230</v>
      </c>
      <c r="K36" s="8" t="s">
        <v>98</v>
      </c>
      <c r="L36" s="10" t="s">
        <v>347</v>
      </c>
      <c r="M36" s="8" t="s">
        <v>348</v>
      </c>
      <c r="N36" s="8" t="s">
        <v>349</v>
      </c>
      <c r="O36" s="8" t="s">
        <v>102</v>
      </c>
      <c r="P36" s="8"/>
      <c r="Q36" s="9" t="s">
        <v>343</v>
      </c>
      <c r="R36" s="8" t="s">
        <v>103</v>
      </c>
      <c r="S36" s="8" t="s">
        <v>215</v>
      </c>
      <c r="T36" s="11" t="s">
        <v>77</v>
      </c>
      <c r="U36" s="8" t="s">
        <v>216</v>
      </c>
      <c r="V36" s="8" t="s">
        <v>217</v>
      </c>
      <c r="W36" s="8" t="n">
        <v>2</v>
      </c>
      <c r="X36" s="8" t="s">
        <v>218</v>
      </c>
      <c r="Y36" s="8" t="s">
        <v>219</v>
      </c>
      <c r="Z36" s="8" t="s">
        <v>220</v>
      </c>
      <c r="AA36" s="11"/>
      <c r="AB36" s="8"/>
    </row>
    <row r="37" customFormat="false" ht="23.25" hidden="false" customHeight="true" outlineLevel="0" collapsed="false">
      <c r="A37" s="8" t="s">
        <v>350</v>
      </c>
      <c r="B37" s="8" t="s">
        <v>351</v>
      </c>
      <c r="C37" s="8" t="s">
        <v>352</v>
      </c>
      <c r="D37" s="8" t="s">
        <v>107</v>
      </c>
      <c r="E37" s="8" t="s">
        <v>148</v>
      </c>
      <c r="F37" s="8" t="s">
        <v>346</v>
      </c>
      <c r="G37" s="8" t="s">
        <v>66</v>
      </c>
      <c r="H37" s="8" t="s">
        <v>208</v>
      </c>
      <c r="I37" s="9" t="n">
        <v>2</v>
      </c>
      <c r="J37" s="8" t="s">
        <v>68</v>
      </c>
      <c r="K37" s="8" t="s">
        <v>231</v>
      </c>
      <c r="L37" s="10" t="s">
        <v>353</v>
      </c>
      <c r="M37" s="8" t="s">
        <v>354</v>
      </c>
      <c r="N37" s="8" t="s">
        <v>355</v>
      </c>
      <c r="O37" s="8" t="s">
        <v>102</v>
      </c>
      <c r="P37" s="8"/>
      <c r="Q37" s="9" t="s">
        <v>350</v>
      </c>
      <c r="R37" s="8" t="s">
        <v>103</v>
      </c>
      <c r="S37" s="8" t="s">
        <v>104</v>
      </c>
      <c r="T37" s="11" t="s">
        <v>77</v>
      </c>
      <c r="U37" s="8" t="s">
        <v>216</v>
      </c>
      <c r="V37" s="8" t="s">
        <v>79</v>
      </c>
      <c r="W37" s="8" t="n">
        <v>2</v>
      </c>
      <c r="X37" s="8" t="s">
        <v>218</v>
      </c>
      <c r="Y37" s="8" t="s">
        <v>219</v>
      </c>
      <c r="Z37" s="8" t="s">
        <v>220</v>
      </c>
      <c r="AA37" s="11"/>
      <c r="AB37" s="8"/>
    </row>
    <row r="38" customFormat="false" ht="23.25" hidden="false" customHeight="true" outlineLevel="0" collapsed="false">
      <c r="A38" s="8" t="s">
        <v>356</v>
      </c>
      <c r="B38" s="8" t="s">
        <v>357</v>
      </c>
      <c r="C38" s="8" t="s">
        <v>358</v>
      </c>
      <c r="D38" s="8" t="s">
        <v>107</v>
      </c>
      <c r="E38" s="8" t="s">
        <v>359</v>
      </c>
      <c r="F38" s="8" t="s">
        <v>360</v>
      </c>
      <c r="G38" s="8" t="s">
        <v>86</v>
      </c>
      <c r="H38" s="8" t="s">
        <v>67</v>
      </c>
      <c r="I38" s="9" t="n">
        <v>1</v>
      </c>
      <c r="J38" s="8" t="s">
        <v>361</v>
      </c>
      <c r="K38" s="8" t="s">
        <v>231</v>
      </c>
      <c r="L38" s="10" t="s">
        <v>362</v>
      </c>
      <c r="M38" s="8" t="s">
        <v>363</v>
      </c>
      <c r="N38" s="8" t="s">
        <v>364</v>
      </c>
      <c r="O38" s="8" t="s">
        <v>102</v>
      </c>
      <c r="P38" s="8"/>
      <c r="Q38" s="9" t="s">
        <v>356</v>
      </c>
      <c r="R38" s="8" t="s">
        <v>103</v>
      </c>
      <c r="S38" s="8" t="s">
        <v>104</v>
      </c>
      <c r="T38" s="11" t="s">
        <v>77</v>
      </c>
      <c r="U38" s="8" t="s">
        <v>365</v>
      </c>
      <c r="V38" s="8" t="s">
        <v>217</v>
      </c>
      <c r="W38" s="8" t="n">
        <v>2</v>
      </c>
      <c r="X38" s="8" t="s">
        <v>366</v>
      </c>
      <c r="Y38" s="8" t="s">
        <v>367</v>
      </c>
      <c r="Z38" s="8" t="s">
        <v>368</v>
      </c>
      <c r="AA38" s="11"/>
      <c r="AB38" s="8"/>
    </row>
    <row r="39" customFormat="false" ht="15" hidden="false" customHeight="true" outlineLevel="0" collapsed="false">
      <c r="A39" s="8" t="s">
        <v>369</v>
      </c>
      <c r="B39" s="8" t="s">
        <v>370</v>
      </c>
      <c r="C39" s="8" t="s">
        <v>371</v>
      </c>
      <c r="D39" s="8" t="s">
        <v>107</v>
      </c>
      <c r="E39" s="8" t="s">
        <v>64</v>
      </c>
      <c r="F39" s="8" t="s">
        <v>65</v>
      </c>
      <c r="G39" s="8" t="s">
        <v>66</v>
      </c>
      <c r="H39" s="8" t="s">
        <v>67</v>
      </c>
      <c r="I39" s="9" t="n">
        <v>1</v>
      </c>
      <c r="J39" s="8" t="s">
        <v>68</v>
      </c>
      <c r="K39" s="8" t="s">
        <v>69</v>
      </c>
      <c r="L39" s="10" t="s">
        <v>372</v>
      </c>
      <c r="M39" s="8" t="s">
        <v>373</v>
      </c>
      <c r="N39" s="8" t="s">
        <v>374</v>
      </c>
      <c r="O39" s="8" t="s">
        <v>102</v>
      </c>
      <c r="P39" s="8"/>
      <c r="Q39" s="9" t="s">
        <v>369</v>
      </c>
      <c r="R39" s="8" t="s">
        <v>103</v>
      </c>
      <c r="S39" s="8" t="s">
        <v>104</v>
      </c>
      <c r="T39" s="11" t="s">
        <v>77</v>
      </c>
      <c r="U39" s="8" t="s">
        <v>78</v>
      </c>
      <c r="V39" s="8" t="s">
        <v>79</v>
      </c>
      <c r="W39" s="8" t="n">
        <v>2</v>
      </c>
      <c r="X39" s="8" t="s">
        <v>80</v>
      </c>
      <c r="Y39" s="8" t="s">
        <v>81</v>
      </c>
      <c r="Z39" s="8" t="s">
        <v>82</v>
      </c>
      <c r="AA39" s="11"/>
      <c r="AB39" s="8"/>
    </row>
    <row r="40" customFormat="false" ht="23.25" hidden="false" customHeight="true" outlineLevel="0" collapsed="false">
      <c r="A40" s="8" t="s">
        <v>375</v>
      </c>
      <c r="B40" s="8" t="s">
        <v>376</v>
      </c>
      <c r="C40" s="8" t="s">
        <v>377</v>
      </c>
      <c r="D40" s="8" t="s">
        <v>107</v>
      </c>
      <c r="E40" s="8" t="s">
        <v>64</v>
      </c>
      <c r="F40" s="8" t="s">
        <v>65</v>
      </c>
      <c r="G40" s="8" t="s">
        <v>66</v>
      </c>
      <c r="H40" s="8" t="s">
        <v>311</v>
      </c>
      <c r="I40" s="9" t="n">
        <v>2</v>
      </c>
      <c r="J40" s="8" t="s">
        <v>230</v>
      </c>
      <c r="K40" s="8" t="s">
        <v>231</v>
      </c>
      <c r="L40" s="10" t="s">
        <v>378</v>
      </c>
      <c r="M40" s="8" t="s">
        <v>379</v>
      </c>
      <c r="N40" s="8" t="s">
        <v>380</v>
      </c>
      <c r="O40" s="8" t="s">
        <v>102</v>
      </c>
      <c r="P40" s="8"/>
      <c r="Q40" s="9" t="s">
        <v>375</v>
      </c>
      <c r="R40" s="8" t="s">
        <v>103</v>
      </c>
      <c r="S40" s="8" t="s">
        <v>104</v>
      </c>
      <c r="T40" s="11" t="s">
        <v>77</v>
      </c>
      <c r="U40" s="8" t="s">
        <v>78</v>
      </c>
      <c r="V40" s="8" t="s">
        <v>79</v>
      </c>
      <c r="W40" s="8" t="n">
        <v>2</v>
      </c>
      <c r="X40" s="8" t="s">
        <v>80</v>
      </c>
      <c r="Y40" s="8" t="s">
        <v>81</v>
      </c>
      <c r="Z40" s="8" t="s">
        <v>82</v>
      </c>
      <c r="AA40" s="11"/>
      <c r="AB40" s="8"/>
    </row>
    <row r="41" customFormat="false" ht="15" hidden="false" customHeight="true" outlineLevel="0" collapsed="false">
      <c r="A41" s="8" t="s">
        <v>381</v>
      </c>
      <c r="B41" s="8" t="s">
        <v>382</v>
      </c>
      <c r="C41" s="8" t="s">
        <v>383</v>
      </c>
      <c r="D41" s="8" t="s">
        <v>114</v>
      </c>
      <c r="E41" s="8" t="s">
        <v>384</v>
      </c>
      <c r="F41" s="8" t="s">
        <v>266</v>
      </c>
      <c r="G41" s="8" t="s">
        <v>66</v>
      </c>
      <c r="H41" s="8" t="s">
        <v>67</v>
      </c>
      <c r="I41" s="9" t="n">
        <v>1</v>
      </c>
      <c r="J41" s="8" t="s">
        <v>361</v>
      </c>
      <c r="K41" s="8" t="s">
        <v>231</v>
      </c>
      <c r="L41" s="10" t="s">
        <v>385</v>
      </c>
      <c r="M41" s="8" t="s">
        <v>386</v>
      </c>
      <c r="N41" s="8" t="s">
        <v>387</v>
      </c>
      <c r="O41" s="8" t="s">
        <v>102</v>
      </c>
      <c r="P41" s="8"/>
      <c r="Q41" s="9" t="s">
        <v>381</v>
      </c>
      <c r="R41" s="8" t="s">
        <v>103</v>
      </c>
      <c r="S41" s="8" t="s">
        <v>104</v>
      </c>
      <c r="T41" s="11" t="s">
        <v>77</v>
      </c>
      <c r="U41" s="8" t="s">
        <v>388</v>
      </c>
      <c r="V41" s="8" t="s">
        <v>217</v>
      </c>
      <c r="W41" s="8" t="n">
        <v>2</v>
      </c>
      <c r="X41" s="8" t="s">
        <v>389</v>
      </c>
      <c r="Y41" s="8" t="s">
        <v>390</v>
      </c>
      <c r="Z41" s="8" t="s">
        <v>391</v>
      </c>
      <c r="AA41" s="11" t="s">
        <v>287</v>
      </c>
      <c r="AB41" s="8" t="s">
        <v>392</v>
      </c>
    </row>
    <row r="42" customFormat="false" ht="23.25" hidden="false" customHeight="true" outlineLevel="0" collapsed="false">
      <c r="A42" s="8" t="s">
        <v>393</v>
      </c>
      <c r="B42" s="8" t="s">
        <v>394</v>
      </c>
      <c r="C42" s="8" t="s">
        <v>395</v>
      </c>
      <c r="D42" s="8" t="s">
        <v>241</v>
      </c>
      <c r="E42" s="8" t="s">
        <v>207</v>
      </c>
      <c r="F42" s="8" t="s">
        <v>65</v>
      </c>
      <c r="G42" s="8" t="s">
        <v>66</v>
      </c>
      <c r="H42" s="8" t="s">
        <v>208</v>
      </c>
      <c r="I42" s="9" t="n">
        <v>2</v>
      </c>
      <c r="J42" s="8" t="s">
        <v>230</v>
      </c>
      <c r="K42" s="8" t="s">
        <v>231</v>
      </c>
      <c r="L42" s="10" t="s">
        <v>396</v>
      </c>
      <c r="M42" s="8" t="s">
        <v>397</v>
      </c>
      <c r="N42" s="8" t="s">
        <v>398</v>
      </c>
      <c r="O42" s="8" t="s">
        <v>214</v>
      </c>
      <c r="P42" s="8"/>
      <c r="Q42" s="9" t="s">
        <v>393</v>
      </c>
      <c r="R42" s="8" t="s">
        <v>103</v>
      </c>
      <c r="S42" s="8" t="s">
        <v>215</v>
      </c>
      <c r="T42" s="11" t="s">
        <v>77</v>
      </c>
      <c r="U42" s="8" t="s">
        <v>245</v>
      </c>
      <c r="V42" s="8" t="s">
        <v>217</v>
      </c>
      <c r="W42" s="8" t="n">
        <v>2</v>
      </c>
      <c r="X42" s="8" t="s">
        <v>246</v>
      </c>
      <c r="Y42" s="8" t="s">
        <v>247</v>
      </c>
      <c r="Z42" s="8" t="s">
        <v>248</v>
      </c>
      <c r="AA42" s="11" t="s">
        <v>221</v>
      </c>
      <c r="AB42" s="8" t="s">
        <v>271</v>
      </c>
    </row>
    <row r="43" customFormat="false" ht="23.25" hidden="false" customHeight="true" outlineLevel="0" collapsed="false">
      <c r="A43" s="8" t="s">
        <v>399</v>
      </c>
      <c r="B43" s="8" t="s">
        <v>400</v>
      </c>
      <c r="C43" s="8" t="s">
        <v>401</v>
      </c>
      <c r="D43" s="8" t="s">
        <v>241</v>
      </c>
      <c r="E43" s="8" t="s">
        <v>207</v>
      </c>
      <c r="F43" s="8" t="s">
        <v>65</v>
      </c>
      <c r="G43" s="8" t="s">
        <v>86</v>
      </c>
      <c r="H43" s="8" t="s">
        <v>208</v>
      </c>
      <c r="I43" s="9" t="n">
        <v>2</v>
      </c>
      <c r="J43" s="8" t="s">
        <v>68</v>
      </c>
      <c r="K43" s="8" t="s">
        <v>69</v>
      </c>
      <c r="L43" s="10" t="s">
        <v>402</v>
      </c>
      <c r="M43" s="8" t="s">
        <v>403</v>
      </c>
      <c r="N43" s="8" t="s">
        <v>404</v>
      </c>
      <c r="O43" s="8" t="s">
        <v>129</v>
      </c>
      <c r="P43" s="8"/>
      <c r="Q43" s="9" t="s">
        <v>399</v>
      </c>
      <c r="R43" s="8" t="s">
        <v>75</v>
      </c>
      <c r="S43" s="8" t="s">
        <v>93</v>
      </c>
      <c r="T43" s="11" t="s">
        <v>77</v>
      </c>
      <c r="U43" s="8" t="s">
        <v>245</v>
      </c>
      <c r="V43" s="8" t="s">
        <v>79</v>
      </c>
      <c r="W43" s="8" t="n">
        <v>2</v>
      </c>
      <c r="X43" s="8" t="s">
        <v>246</v>
      </c>
      <c r="Y43" s="8" t="s">
        <v>247</v>
      </c>
      <c r="Z43" s="8" t="s">
        <v>248</v>
      </c>
      <c r="AA43" s="11"/>
      <c r="AB43" s="8"/>
    </row>
    <row r="44" customFormat="false" ht="15" hidden="false" customHeight="true" outlineLevel="0" collapsed="false">
      <c r="A44" s="8" t="s">
        <v>405</v>
      </c>
      <c r="B44" s="8" t="s">
        <v>406</v>
      </c>
      <c r="C44" s="8" t="s">
        <v>407</v>
      </c>
      <c r="D44" s="8" t="s">
        <v>63</v>
      </c>
      <c r="E44" s="8" t="s">
        <v>408</v>
      </c>
      <c r="F44" s="8" t="s">
        <v>65</v>
      </c>
      <c r="G44" s="8" t="s">
        <v>66</v>
      </c>
      <c r="H44" s="8" t="s">
        <v>311</v>
      </c>
      <c r="I44" s="9" t="n">
        <v>3</v>
      </c>
      <c r="J44" s="8" t="s">
        <v>409</v>
      </c>
      <c r="K44" s="8" t="s">
        <v>231</v>
      </c>
      <c r="L44" s="10" t="s">
        <v>410</v>
      </c>
      <c r="M44" s="8" t="s">
        <v>411</v>
      </c>
      <c r="N44" s="8" t="s">
        <v>412</v>
      </c>
      <c r="O44" s="8" t="s">
        <v>129</v>
      </c>
      <c r="P44" s="8" t="s">
        <v>413</v>
      </c>
      <c r="Q44" s="9" t="s">
        <v>60</v>
      </c>
      <c r="R44" s="8" t="s">
        <v>92</v>
      </c>
      <c r="S44" s="8" t="s">
        <v>131</v>
      </c>
      <c r="T44" s="11" t="s">
        <v>77</v>
      </c>
      <c r="U44" s="8" t="s">
        <v>78</v>
      </c>
      <c r="V44" s="8" t="s">
        <v>132</v>
      </c>
      <c r="W44" s="8" t="n">
        <v>1</v>
      </c>
      <c r="X44" s="8" t="s">
        <v>80</v>
      </c>
      <c r="Y44" s="8" t="s">
        <v>81</v>
      </c>
      <c r="Z44" s="8" t="s">
        <v>82</v>
      </c>
      <c r="AA44" s="11"/>
      <c r="AB44" s="8"/>
    </row>
    <row r="45" customFormat="false" ht="15" hidden="false" customHeight="true" outlineLevel="0" collapsed="false">
      <c r="A45" s="8" t="s">
        <v>414</v>
      </c>
      <c r="B45" s="8" t="s">
        <v>415</v>
      </c>
      <c r="C45" s="8" t="s">
        <v>416</v>
      </c>
      <c r="D45" s="8" t="s">
        <v>63</v>
      </c>
      <c r="E45" s="8" t="s">
        <v>408</v>
      </c>
      <c r="F45" s="8" t="s">
        <v>65</v>
      </c>
      <c r="G45" s="8" t="s">
        <v>66</v>
      </c>
      <c r="H45" s="8" t="s">
        <v>311</v>
      </c>
      <c r="I45" s="9" t="n">
        <v>3</v>
      </c>
      <c r="J45" s="8" t="s">
        <v>142</v>
      </c>
      <c r="K45" s="8" t="s">
        <v>231</v>
      </c>
      <c r="L45" s="10" t="s">
        <v>417</v>
      </c>
      <c r="M45" s="8" t="s">
        <v>418</v>
      </c>
      <c r="N45" s="8" t="s">
        <v>419</v>
      </c>
      <c r="O45" s="8" t="s">
        <v>129</v>
      </c>
      <c r="P45" s="8" t="s">
        <v>342</v>
      </c>
      <c r="Q45" s="9" t="s">
        <v>60</v>
      </c>
      <c r="R45" s="8" t="s">
        <v>92</v>
      </c>
      <c r="S45" s="8" t="s">
        <v>131</v>
      </c>
      <c r="T45" s="11" t="s">
        <v>77</v>
      </c>
      <c r="U45" s="8" t="s">
        <v>78</v>
      </c>
      <c r="V45" s="8" t="s">
        <v>132</v>
      </c>
      <c r="W45" s="8" t="n">
        <v>1</v>
      </c>
      <c r="X45" s="8" t="s">
        <v>80</v>
      </c>
      <c r="Y45" s="8" t="s">
        <v>81</v>
      </c>
      <c r="Z45" s="8" t="s">
        <v>82</v>
      </c>
      <c r="AA45" s="11"/>
      <c r="AB45" s="8"/>
    </row>
    <row r="46" customFormat="false" ht="15" hidden="false" customHeight="true" outlineLevel="0" collapsed="false">
      <c r="A46" s="8" t="s">
        <v>420</v>
      </c>
      <c r="B46" s="8" t="s">
        <v>421</v>
      </c>
      <c r="C46" s="8" t="s">
        <v>422</v>
      </c>
      <c r="D46" s="8" t="s">
        <v>164</v>
      </c>
      <c r="E46" s="8" t="s">
        <v>408</v>
      </c>
      <c r="F46" s="8" t="s">
        <v>184</v>
      </c>
      <c r="G46" s="8" t="s">
        <v>66</v>
      </c>
      <c r="H46" s="8" t="s">
        <v>311</v>
      </c>
      <c r="I46" s="9" t="n">
        <v>3</v>
      </c>
      <c r="J46" s="8" t="s">
        <v>68</v>
      </c>
      <c r="K46" s="8" t="s">
        <v>231</v>
      </c>
      <c r="L46" s="10" t="s">
        <v>423</v>
      </c>
      <c r="M46" s="8" t="s">
        <v>424</v>
      </c>
      <c r="N46" s="8" t="s">
        <v>425</v>
      </c>
      <c r="O46" s="8" t="s">
        <v>102</v>
      </c>
      <c r="P46" s="8"/>
      <c r="Q46" s="9" t="s">
        <v>420</v>
      </c>
      <c r="R46" s="8" t="s">
        <v>103</v>
      </c>
      <c r="S46" s="8" t="s">
        <v>104</v>
      </c>
      <c r="T46" s="11" t="s">
        <v>77</v>
      </c>
      <c r="U46" s="8" t="s">
        <v>78</v>
      </c>
      <c r="V46" s="8" t="s">
        <v>132</v>
      </c>
      <c r="W46" s="8" t="n">
        <v>1</v>
      </c>
      <c r="X46" s="8" t="s">
        <v>80</v>
      </c>
      <c r="Y46" s="8" t="s">
        <v>81</v>
      </c>
      <c r="Z46" s="8" t="s">
        <v>82</v>
      </c>
      <c r="AA46" s="11"/>
      <c r="AB46" s="8"/>
    </row>
    <row r="47" customFormat="false" ht="23.25" hidden="false" customHeight="true" outlineLevel="0" collapsed="false">
      <c r="A47" s="8" t="s">
        <v>426</v>
      </c>
      <c r="B47" s="8" t="s">
        <v>427</v>
      </c>
      <c r="C47" s="8" t="s">
        <v>428</v>
      </c>
      <c r="D47" s="8" t="s">
        <v>164</v>
      </c>
      <c r="E47" s="8" t="s">
        <v>165</v>
      </c>
      <c r="F47" s="8" t="s">
        <v>184</v>
      </c>
      <c r="G47" s="8" t="s">
        <v>66</v>
      </c>
      <c r="H47" s="8" t="s">
        <v>67</v>
      </c>
      <c r="I47" s="9" t="n">
        <v>1</v>
      </c>
      <c r="J47" s="8" t="s">
        <v>166</v>
      </c>
      <c r="K47" s="8" t="s">
        <v>231</v>
      </c>
      <c r="L47" s="10" t="s">
        <v>429</v>
      </c>
      <c r="M47" s="8" t="s">
        <v>430</v>
      </c>
      <c r="N47" s="8" t="s">
        <v>431</v>
      </c>
      <c r="O47" s="8" t="s">
        <v>102</v>
      </c>
      <c r="P47" s="8"/>
      <c r="Q47" s="9" t="s">
        <v>426</v>
      </c>
      <c r="R47" s="8" t="s">
        <v>103</v>
      </c>
      <c r="S47" s="8" t="s">
        <v>104</v>
      </c>
      <c r="T47" s="11" t="s">
        <v>77</v>
      </c>
      <c r="U47" s="8" t="s">
        <v>171</v>
      </c>
      <c r="V47" s="8" t="s">
        <v>79</v>
      </c>
      <c r="W47" s="8" t="n">
        <v>2</v>
      </c>
      <c r="X47" s="8" t="s">
        <v>172</v>
      </c>
      <c r="Y47" s="8" t="s">
        <v>173</v>
      </c>
      <c r="Z47" s="8" t="s">
        <v>82</v>
      </c>
      <c r="AA47" s="11"/>
      <c r="AB47" s="8"/>
    </row>
    <row r="48" customFormat="false" ht="23.25" hidden="false" customHeight="true" outlineLevel="0" collapsed="false">
      <c r="A48" s="8" t="s">
        <v>432</v>
      </c>
      <c r="B48" s="8" t="s">
        <v>433</v>
      </c>
      <c r="C48" s="8" t="s">
        <v>434</v>
      </c>
      <c r="D48" s="8" t="s">
        <v>164</v>
      </c>
      <c r="E48" s="8" t="s">
        <v>165</v>
      </c>
      <c r="F48" s="8" t="s">
        <v>184</v>
      </c>
      <c r="G48" s="8" t="s">
        <v>66</v>
      </c>
      <c r="H48" s="8" t="s">
        <v>67</v>
      </c>
      <c r="I48" s="9" t="n">
        <v>1</v>
      </c>
      <c r="J48" s="8" t="s">
        <v>166</v>
      </c>
      <c r="K48" s="8" t="s">
        <v>231</v>
      </c>
      <c r="L48" s="10" t="s">
        <v>435</v>
      </c>
      <c r="M48" s="8" t="s">
        <v>436</v>
      </c>
      <c r="N48" s="8" t="s">
        <v>437</v>
      </c>
      <c r="O48" s="8" t="s">
        <v>102</v>
      </c>
      <c r="P48" s="8"/>
      <c r="Q48" s="9" t="s">
        <v>432</v>
      </c>
      <c r="R48" s="8" t="s">
        <v>103</v>
      </c>
      <c r="S48" s="8" t="s">
        <v>104</v>
      </c>
      <c r="T48" s="11" t="s">
        <v>77</v>
      </c>
      <c r="U48" s="8" t="s">
        <v>171</v>
      </c>
      <c r="V48" s="8" t="s">
        <v>79</v>
      </c>
      <c r="W48" s="8" t="n">
        <v>2</v>
      </c>
      <c r="X48" s="8" t="s">
        <v>172</v>
      </c>
      <c r="Y48" s="8" t="s">
        <v>173</v>
      </c>
      <c r="Z48" s="8" t="s">
        <v>82</v>
      </c>
      <c r="AA48" s="11"/>
      <c r="AB48" s="8"/>
    </row>
    <row r="49" customFormat="false" ht="23.25" hidden="false" customHeight="true" outlineLevel="0" collapsed="false">
      <c r="A49" s="8" t="s">
        <v>438</v>
      </c>
      <c r="B49" s="8" t="s">
        <v>439</v>
      </c>
      <c r="C49" s="8" t="s">
        <v>440</v>
      </c>
      <c r="D49" s="8" t="s">
        <v>63</v>
      </c>
      <c r="E49" s="8" t="s">
        <v>408</v>
      </c>
      <c r="F49" s="8" t="s">
        <v>176</v>
      </c>
      <c r="G49" s="8" t="s">
        <v>86</v>
      </c>
      <c r="H49" s="8" t="s">
        <v>311</v>
      </c>
      <c r="I49" s="9" t="n">
        <v>3</v>
      </c>
      <c r="J49" s="8" t="s">
        <v>166</v>
      </c>
      <c r="K49" s="8" t="s">
        <v>441</v>
      </c>
      <c r="L49" s="10" t="s">
        <v>442</v>
      </c>
      <c r="M49" s="8" t="s">
        <v>443</v>
      </c>
      <c r="N49" s="8" t="s">
        <v>444</v>
      </c>
      <c r="O49" s="8" t="s">
        <v>73</v>
      </c>
      <c r="P49" s="8" t="s">
        <v>445</v>
      </c>
      <c r="Q49" s="9" t="s">
        <v>438</v>
      </c>
      <c r="R49" s="8" t="s">
        <v>75</v>
      </c>
      <c r="S49" s="8" t="s">
        <v>76</v>
      </c>
      <c r="T49" s="11" t="s">
        <v>77</v>
      </c>
      <c r="U49" s="8" t="s">
        <v>78</v>
      </c>
      <c r="V49" s="8" t="s">
        <v>132</v>
      </c>
      <c r="W49" s="8" t="n">
        <v>1</v>
      </c>
      <c r="X49" s="8" t="s">
        <v>80</v>
      </c>
      <c r="Y49" s="8" t="s">
        <v>81</v>
      </c>
      <c r="Z49" s="8" t="s">
        <v>82</v>
      </c>
      <c r="AA49" s="11"/>
      <c r="AB49" s="8"/>
    </row>
    <row r="50" customFormat="false" ht="23.25" hidden="false" customHeight="true" outlineLevel="0" collapsed="false">
      <c r="A50" s="8" t="s">
        <v>446</v>
      </c>
      <c r="B50" s="8" t="s">
        <v>447</v>
      </c>
      <c r="C50" s="8" t="s">
        <v>448</v>
      </c>
      <c r="D50" s="8" t="s">
        <v>114</v>
      </c>
      <c r="E50" s="8" t="s">
        <v>408</v>
      </c>
      <c r="F50" s="8" t="s">
        <v>65</v>
      </c>
      <c r="G50" s="8" t="s">
        <v>66</v>
      </c>
      <c r="H50" s="8" t="s">
        <v>311</v>
      </c>
      <c r="I50" s="9" t="n">
        <v>3</v>
      </c>
      <c r="J50" s="8" t="s">
        <v>142</v>
      </c>
      <c r="K50" s="8" t="s">
        <v>449</v>
      </c>
      <c r="L50" s="10" t="s">
        <v>450</v>
      </c>
      <c r="M50" s="8" t="s">
        <v>451</v>
      </c>
      <c r="N50" s="8" t="s">
        <v>452</v>
      </c>
      <c r="O50" s="8" t="s">
        <v>73</v>
      </c>
      <c r="P50" s="8" t="s">
        <v>453</v>
      </c>
      <c r="Q50" s="9" t="s">
        <v>446</v>
      </c>
      <c r="R50" s="8" t="s">
        <v>75</v>
      </c>
      <c r="S50" s="8" t="s">
        <v>76</v>
      </c>
      <c r="T50" s="11" t="s">
        <v>77</v>
      </c>
      <c r="U50" s="8" t="s">
        <v>78</v>
      </c>
      <c r="V50" s="8" t="s">
        <v>132</v>
      </c>
      <c r="W50" s="8" t="n">
        <v>1</v>
      </c>
      <c r="X50" s="8" t="s">
        <v>80</v>
      </c>
      <c r="Y50" s="8" t="s">
        <v>81</v>
      </c>
      <c r="Z50" s="8" t="s">
        <v>82</v>
      </c>
      <c r="AA50" s="11"/>
      <c r="AB50" s="8"/>
    </row>
    <row r="51" customFormat="false" ht="15" hidden="false" customHeight="true" outlineLevel="0" collapsed="false">
      <c r="A51" s="8" t="s">
        <v>454</v>
      </c>
      <c r="B51" s="8" t="s">
        <v>455</v>
      </c>
      <c r="C51" s="8" t="s">
        <v>455</v>
      </c>
      <c r="D51" s="8" t="s">
        <v>114</v>
      </c>
      <c r="E51" s="8" t="s">
        <v>408</v>
      </c>
      <c r="F51" s="8" t="s">
        <v>65</v>
      </c>
      <c r="G51" s="8" t="s">
        <v>66</v>
      </c>
      <c r="H51" s="8" t="s">
        <v>311</v>
      </c>
      <c r="I51" s="9" t="n">
        <v>3</v>
      </c>
      <c r="J51" s="8" t="s">
        <v>456</v>
      </c>
      <c r="K51" s="8" t="s">
        <v>449</v>
      </c>
      <c r="L51" s="10" t="s">
        <v>457</v>
      </c>
      <c r="M51" s="8" t="s">
        <v>458</v>
      </c>
      <c r="N51" s="8" t="s">
        <v>452</v>
      </c>
      <c r="O51" s="8" t="s">
        <v>73</v>
      </c>
      <c r="P51" s="8" t="s">
        <v>459</v>
      </c>
      <c r="Q51" s="9" t="s">
        <v>454</v>
      </c>
      <c r="R51" s="8" t="s">
        <v>75</v>
      </c>
      <c r="S51" s="8" t="s">
        <v>76</v>
      </c>
      <c r="T51" s="11" t="s">
        <v>77</v>
      </c>
      <c r="U51" s="8" t="s">
        <v>78</v>
      </c>
      <c r="V51" s="8" t="s">
        <v>132</v>
      </c>
      <c r="W51" s="8" t="n">
        <v>1</v>
      </c>
      <c r="X51" s="8" t="s">
        <v>80</v>
      </c>
      <c r="Y51" s="8" t="s">
        <v>81</v>
      </c>
      <c r="Z51" s="8" t="s">
        <v>82</v>
      </c>
      <c r="AA51" s="11"/>
      <c r="AB51" s="8"/>
    </row>
    <row r="52" customFormat="false" ht="15" hidden="false" customHeight="true" outlineLevel="0" collapsed="false">
      <c r="A52" s="8" t="s">
        <v>460</v>
      </c>
      <c r="B52" s="8" t="s">
        <v>461</v>
      </c>
      <c r="C52" s="8" t="s">
        <v>462</v>
      </c>
      <c r="D52" s="8" t="s">
        <v>120</v>
      </c>
      <c r="E52" s="8" t="s">
        <v>408</v>
      </c>
      <c r="F52" s="8" t="s">
        <v>149</v>
      </c>
      <c r="G52" s="8" t="s">
        <v>86</v>
      </c>
      <c r="H52" s="8" t="s">
        <v>311</v>
      </c>
      <c r="I52" s="9" t="n">
        <v>3</v>
      </c>
      <c r="J52" s="8" t="s">
        <v>142</v>
      </c>
      <c r="K52" s="8" t="s">
        <v>231</v>
      </c>
      <c r="L52" s="10" t="s">
        <v>463</v>
      </c>
      <c r="M52" s="8" t="s">
        <v>464</v>
      </c>
      <c r="N52" s="8" t="s">
        <v>465</v>
      </c>
      <c r="O52" s="8" t="s">
        <v>466</v>
      </c>
      <c r="P52" s="8" t="s">
        <v>467</v>
      </c>
      <c r="Q52" s="9" t="s">
        <v>118</v>
      </c>
      <c r="R52" s="8" t="s">
        <v>92</v>
      </c>
      <c r="S52" s="8" t="s">
        <v>131</v>
      </c>
      <c r="T52" s="11" t="s">
        <v>77</v>
      </c>
      <c r="U52" s="8" t="s">
        <v>78</v>
      </c>
      <c r="V52" s="8" t="s">
        <v>132</v>
      </c>
      <c r="W52" s="8" t="n">
        <v>1</v>
      </c>
      <c r="X52" s="8" t="s">
        <v>80</v>
      </c>
      <c r="Y52" s="8" t="s">
        <v>81</v>
      </c>
      <c r="Z52" s="8" t="s">
        <v>82</v>
      </c>
      <c r="AA52" s="11"/>
      <c r="AB52" s="8"/>
    </row>
    <row r="53" customFormat="false" ht="15" hidden="false" customHeight="true" outlineLevel="0" collapsed="false">
      <c r="A53" s="8" t="s">
        <v>181</v>
      </c>
      <c r="B53" s="8" t="s">
        <v>468</v>
      </c>
      <c r="C53" s="8" t="s">
        <v>469</v>
      </c>
      <c r="D53" s="8" t="s">
        <v>63</v>
      </c>
      <c r="E53" s="8" t="s">
        <v>331</v>
      </c>
      <c r="F53" s="8" t="s">
        <v>176</v>
      </c>
      <c r="G53" s="8" t="s">
        <v>156</v>
      </c>
      <c r="H53" s="8" t="s">
        <v>311</v>
      </c>
      <c r="I53" s="9" t="n">
        <v>2</v>
      </c>
      <c r="J53" s="8" t="s">
        <v>470</v>
      </c>
      <c r="K53" s="8" t="s">
        <v>471</v>
      </c>
      <c r="L53" s="10" t="s">
        <v>472</v>
      </c>
      <c r="M53" s="8" t="s">
        <v>473</v>
      </c>
      <c r="N53" s="8" t="s">
        <v>474</v>
      </c>
      <c r="O53" s="8" t="s">
        <v>73</v>
      </c>
      <c r="P53" s="8"/>
      <c r="Q53" s="9" t="s">
        <v>181</v>
      </c>
      <c r="R53" s="8" t="s">
        <v>103</v>
      </c>
      <c r="S53" s="8" t="s">
        <v>76</v>
      </c>
      <c r="T53" s="11" t="s">
        <v>77</v>
      </c>
      <c r="U53" s="8" t="s">
        <v>78</v>
      </c>
      <c r="V53" s="8" t="s">
        <v>132</v>
      </c>
      <c r="W53" s="8" t="n">
        <v>1</v>
      </c>
      <c r="X53" s="8" t="s">
        <v>80</v>
      </c>
      <c r="Y53" s="8" t="s">
        <v>81</v>
      </c>
      <c r="Z53" s="8" t="s">
        <v>82</v>
      </c>
      <c r="AA53" s="11"/>
      <c r="AB53" s="8"/>
    </row>
    <row r="54" customFormat="false" ht="15" hidden="false" customHeight="true" outlineLevel="0" collapsed="false">
      <c r="A54" s="8" t="s">
        <v>475</v>
      </c>
      <c r="B54" s="8" t="s">
        <v>476</v>
      </c>
      <c r="C54" s="8" t="s">
        <v>401</v>
      </c>
      <c r="D54" s="8" t="s">
        <v>63</v>
      </c>
      <c r="E54" s="8" t="s">
        <v>331</v>
      </c>
      <c r="F54" s="8" t="s">
        <v>176</v>
      </c>
      <c r="G54" s="8" t="s">
        <v>156</v>
      </c>
      <c r="H54" s="8" t="s">
        <v>67</v>
      </c>
      <c r="I54" s="9" t="n">
        <v>1</v>
      </c>
      <c r="J54" s="8" t="s">
        <v>157</v>
      </c>
      <c r="K54" s="8" t="s">
        <v>98</v>
      </c>
      <c r="L54" s="10" t="s">
        <v>477</v>
      </c>
      <c r="M54" s="8" t="s">
        <v>478</v>
      </c>
      <c r="N54" s="8" t="s">
        <v>479</v>
      </c>
      <c r="O54" s="8" t="s">
        <v>129</v>
      </c>
      <c r="P54" s="8"/>
      <c r="Q54" s="9" t="s">
        <v>475</v>
      </c>
      <c r="R54" s="8" t="s">
        <v>75</v>
      </c>
      <c r="S54" s="8" t="s">
        <v>93</v>
      </c>
      <c r="T54" s="11" t="s">
        <v>77</v>
      </c>
      <c r="U54" s="8" t="s">
        <v>78</v>
      </c>
      <c r="V54" s="8" t="s">
        <v>132</v>
      </c>
      <c r="W54" s="8" t="n">
        <v>1</v>
      </c>
      <c r="X54" s="8" t="s">
        <v>80</v>
      </c>
      <c r="Y54" s="8" t="s">
        <v>81</v>
      </c>
      <c r="Z54" s="8" t="s">
        <v>82</v>
      </c>
      <c r="AA54" s="11"/>
      <c r="AB54" s="8"/>
    </row>
    <row r="55" customFormat="false" ht="15" hidden="false" customHeight="true" outlineLevel="0" collapsed="false">
      <c r="A55" s="8" t="s">
        <v>480</v>
      </c>
      <c r="B55" s="8" t="s">
        <v>481</v>
      </c>
      <c r="C55" s="8" t="s">
        <v>482</v>
      </c>
      <c r="D55" s="8" t="s">
        <v>63</v>
      </c>
      <c r="E55" s="8" t="s">
        <v>359</v>
      </c>
      <c r="F55" s="8" t="s">
        <v>266</v>
      </c>
      <c r="G55" s="8" t="s">
        <v>86</v>
      </c>
      <c r="H55" s="8" t="s">
        <v>67</v>
      </c>
      <c r="I55" s="9" t="n">
        <v>1</v>
      </c>
      <c r="J55" s="8" t="s">
        <v>361</v>
      </c>
      <c r="K55" s="8" t="s">
        <v>231</v>
      </c>
      <c r="L55" s="10" t="s">
        <v>483</v>
      </c>
      <c r="M55" s="8" t="s">
        <v>484</v>
      </c>
      <c r="N55" s="8" t="s">
        <v>485</v>
      </c>
      <c r="O55" s="8" t="s">
        <v>102</v>
      </c>
      <c r="P55" s="8"/>
      <c r="Q55" s="9" t="s">
        <v>480</v>
      </c>
      <c r="R55" s="8" t="s">
        <v>103</v>
      </c>
      <c r="S55" s="8" t="s">
        <v>104</v>
      </c>
      <c r="T55" s="11" t="s">
        <v>77</v>
      </c>
      <c r="U55" s="8" t="s">
        <v>279</v>
      </c>
      <c r="V55" s="8" t="s">
        <v>217</v>
      </c>
      <c r="W55" s="8" t="n">
        <v>2</v>
      </c>
      <c r="X55" s="8" t="s">
        <v>280</v>
      </c>
      <c r="Y55" s="8" t="s">
        <v>219</v>
      </c>
      <c r="Z55" s="8" t="s">
        <v>281</v>
      </c>
      <c r="AA55" s="11"/>
      <c r="AB55" s="8"/>
    </row>
    <row r="56" customFormat="false" ht="15" hidden="false" customHeight="true" outlineLevel="0" collapsed="false">
      <c r="A56" s="8" t="s">
        <v>486</v>
      </c>
      <c r="B56" s="8" t="s">
        <v>487</v>
      </c>
      <c r="C56" s="8" t="s">
        <v>488</v>
      </c>
      <c r="D56" s="8" t="s">
        <v>63</v>
      </c>
      <c r="E56" s="8" t="s">
        <v>359</v>
      </c>
      <c r="F56" s="8" t="s">
        <v>266</v>
      </c>
      <c r="G56" s="8" t="s">
        <v>156</v>
      </c>
      <c r="H56" s="8" t="s">
        <v>67</v>
      </c>
      <c r="I56" s="9" t="n">
        <v>1</v>
      </c>
      <c r="J56" s="8" t="s">
        <v>361</v>
      </c>
      <c r="K56" s="8" t="s">
        <v>231</v>
      </c>
      <c r="L56" s="10" t="s">
        <v>489</v>
      </c>
      <c r="M56" s="8" t="s">
        <v>490</v>
      </c>
      <c r="N56" s="8" t="s">
        <v>491</v>
      </c>
      <c r="O56" s="8" t="s">
        <v>102</v>
      </c>
      <c r="P56" s="8"/>
      <c r="Q56" s="9" t="s">
        <v>486</v>
      </c>
      <c r="R56" s="8" t="s">
        <v>103</v>
      </c>
      <c r="S56" s="8" t="s">
        <v>104</v>
      </c>
      <c r="T56" s="11" t="s">
        <v>77</v>
      </c>
      <c r="U56" s="8" t="s">
        <v>279</v>
      </c>
      <c r="V56" s="8" t="s">
        <v>217</v>
      </c>
      <c r="W56" s="8" t="n">
        <v>2</v>
      </c>
      <c r="X56" s="8" t="s">
        <v>280</v>
      </c>
      <c r="Y56" s="8" t="s">
        <v>219</v>
      </c>
      <c r="Z56" s="8" t="s">
        <v>281</v>
      </c>
      <c r="AA56" s="11"/>
      <c r="AB56" s="8"/>
    </row>
    <row r="57" customFormat="false" ht="15" hidden="false" customHeight="true" outlineLevel="0" collapsed="false">
      <c r="A57" s="8" t="s">
        <v>492</v>
      </c>
      <c r="B57" s="8" t="s">
        <v>493</v>
      </c>
      <c r="C57" s="8" t="s">
        <v>494</v>
      </c>
      <c r="D57" s="8" t="s">
        <v>63</v>
      </c>
      <c r="E57" s="8" t="s">
        <v>359</v>
      </c>
      <c r="F57" s="8" t="s">
        <v>266</v>
      </c>
      <c r="G57" s="8" t="s">
        <v>66</v>
      </c>
      <c r="H57" s="8" t="s">
        <v>311</v>
      </c>
      <c r="I57" s="9" t="n">
        <v>2</v>
      </c>
      <c r="J57" s="8" t="s">
        <v>291</v>
      </c>
      <c r="K57" s="8" t="s">
        <v>231</v>
      </c>
      <c r="L57" s="10" t="s">
        <v>495</v>
      </c>
      <c r="M57" s="8" t="s">
        <v>496</v>
      </c>
      <c r="N57" s="8" t="s">
        <v>497</v>
      </c>
      <c r="O57" s="8" t="s">
        <v>73</v>
      </c>
      <c r="P57" s="8" t="s">
        <v>498</v>
      </c>
      <c r="Q57" s="9" t="s">
        <v>492</v>
      </c>
      <c r="R57" s="8" t="s">
        <v>75</v>
      </c>
      <c r="S57" s="8" t="s">
        <v>215</v>
      </c>
      <c r="T57" s="11" t="s">
        <v>77</v>
      </c>
      <c r="U57" s="8" t="s">
        <v>279</v>
      </c>
      <c r="V57" s="8" t="s">
        <v>217</v>
      </c>
      <c r="W57" s="8" t="n">
        <v>2</v>
      </c>
      <c r="X57" s="8" t="s">
        <v>280</v>
      </c>
      <c r="Y57" s="8" t="s">
        <v>219</v>
      </c>
      <c r="Z57" s="8" t="s">
        <v>281</v>
      </c>
      <c r="AA57" s="11" t="s">
        <v>287</v>
      </c>
      <c r="AB57" s="8" t="s">
        <v>499</v>
      </c>
    </row>
    <row r="58" customFormat="false" ht="23.25" hidden="false" customHeight="true" outlineLevel="0" collapsed="false">
      <c r="A58" s="8" t="s">
        <v>500</v>
      </c>
      <c r="B58" s="8" t="s">
        <v>501</v>
      </c>
      <c r="C58" s="8" t="s">
        <v>502</v>
      </c>
      <c r="D58" s="8" t="s">
        <v>63</v>
      </c>
      <c r="E58" s="8" t="s">
        <v>359</v>
      </c>
      <c r="F58" s="8" t="s">
        <v>360</v>
      </c>
      <c r="G58" s="8" t="s">
        <v>86</v>
      </c>
      <c r="H58" s="8" t="s">
        <v>67</v>
      </c>
      <c r="I58" s="9" t="n">
        <v>1</v>
      </c>
      <c r="J58" s="8" t="s">
        <v>236</v>
      </c>
      <c r="K58" s="8" t="s">
        <v>98</v>
      </c>
      <c r="L58" s="10" t="s">
        <v>503</v>
      </c>
      <c r="M58" s="8" t="s">
        <v>504</v>
      </c>
      <c r="N58" s="8" t="s">
        <v>505</v>
      </c>
      <c r="O58" s="8" t="s">
        <v>102</v>
      </c>
      <c r="P58" s="8"/>
      <c r="Q58" s="9" t="s">
        <v>500</v>
      </c>
      <c r="R58" s="8" t="s">
        <v>103</v>
      </c>
      <c r="S58" s="8" t="s">
        <v>215</v>
      </c>
      <c r="T58" s="11" t="s">
        <v>77</v>
      </c>
      <c r="U58" s="8" t="s">
        <v>365</v>
      </c>
      <c r="V58" s="8" t="s">
        <v>217</v>
      </c>
      <c r="W58" s="8" t="n">
        <v>2</v>
      </c>
      <c r="X58" s="8" t="s">
        <v>366</v>
      </c>
      <c r="Y58" s="8" t="s">
        <v>367</v>
      </c>
      <c r="Z58" s="8" t="s">
        <v>368</v>
      </c>
      <c r="AA58" s="11" t="s">
        <v>221</v>
      </c>
      <c r="AB58" s="8"/>
    </row>
    <row r="59" customFormat="false" ht="15" hidden="false" customHeight="true" outlineLevel="0" collapsed="false">
      <c r="A59" s="8" t="s">
        <v>506</v>
      </c>
      <c r="B59" s="8" t="s">
        <v>507</v>
      </c>
      <c r="C59" s="8" t="s">
        <v>507</v>
      </c>
      <c r="D59" s="8" t="s">
        <v>63</v>
      </c>
      <c r="E59" s="8" t="s">
        <v>359</v>
      </c>
      <c r="F59" s="8" t="s">
        <v>266</v>
      </c>
      <c r="G59" s="8" t="s">
        <v>66</v>
      </c>
      <c r="H59" s="8" t="s">
        <v>311</v>
      </c>
      <c r="I59" s="9" t="n">
        <v>2</v>
      </c>
      <c r="J59" s="8" t="s">
        <v>230</v>
      </c>
      <c r="K59" s="8" t="s">
        <v>508</v>
      </c>
      <c r="L59" s="10" t="s">
        <v>509</v>
      </c>
      <c r="M59" s="8" t="s">
        <v>510</v>
      </c>
      <c r="N59" s="8" t="s">
        <v>511</v>
      </c>
      <c r="O59" s="8" t="s">
        <v>102</v>
      </c>
      <c r="P59" s="8"/>
      <c r="Q59" s="9" t="s">
        <v>506</v>
      </c>
      <c r="R59" s="8" t="s">
        <v>103</v>
      </c>
      <c r="S59" s="8" t="s">
        <v>104</v>
      </c>
      <c r="T59" s="11" t="s">
        <v>77</v>
      </c>
      <c r="U59" s="8" t="s">
        <v>279</v>
      </c>
      <c r="V59" s="8" t="s">
        <v>217</v>
      </c>
      <c r="W59" s="8" t="n">
        <v>2</v>
      </c>
      <c r="X59" s="8" t="s">
        <v>280</v>
      </c>
      <c r="Y59" s="8" t="s">
        <v>219</v>
      </c>
      <c r="Z59" s="8" t="s">
        <v>281</v>
      </c>
      <c r="AA59" s="11"/>
      <c r="AB59" s="8"/>
    </row>
    <row r="60" customFormat="false" ht="23.25" hidden="false" customHeight="true" outlineLevel="0" collapsed="false">
      <c r="A60" s="8" t="s">
        <v>512</v>
      </c>
      <c r="B60" s="8" t="s">
        <v>513</v>
      </c>
      <c r="C60" s="8" t="s">
        <v>514</v>
      </c>
      <c r="D60" s="8" t="s">
        <v>120</v>
      </c>
      <c r="E60" s="8" t="s">
        <v>359</v>
      </c>
      <c r="F60" s="8" t="s">
        <v>149</v>
      </c>
      <c r="G60" s="8" t="s">
        <v>156</v>
      </c>
      <c r="H60" s="8" t="s">
        <v>67</v>
      </c>
      <c r="I60" s="9" t="n">
        <v>1</v>
      </c>
      <c r="J60" s="8" t="s">
        <v>186</v>
      </c>
      <c r="K60" s="8" t="s">
        <v>231</v>
      </c>
      <c r="L60" s="10" t="s">
        <v>515</v>
      </c>
      <c r="M60" s="8" t="s">
        <v>516</v>
      </c>
      <c r="N60" s="8" t="s">
        <v>517</v>
      </c>
      <c r="O60" s="8" t="s">
        <v>102</v>
      </c>
      <c r="P60" s="8"/>
      <c r="Q60" s="9" t="s">
        <v>512</v>
      </c>
      <c r="R60" s="8" t="s">
        <v>103</v>
      </c>
      <c r="S60" s="8" t="s">
        <v>104</v>
      </c>
      <c r="T60" s="11" t="s">
        <v>77</v>
      </c>
      <c r="U60" s="8" t="s">
        <v>365</v>
      </c>
      <c r="V60" s="8" t="s">
        <v>79</v>
      </c>
      <c r="W60" s="8" t="n">
        <v>2</v>
      </c>
      <c r="X60" s="8" t="s">
        <v>366</v>
      </c>
      <c r="Y60" s="8" t="s">
        <v>367</v>
      </c>
      <c r="Z60" s="8" t="s">
        <v>368</v>
      </c>
      <c r="AA60" s="11"/>
      <c r="AB60" s="8"/>
    </row>
    <row r="61" customFormat="false" ht="23.25" hidden="false" customHeight="true" outlineLevel="0" collapsed="false">
      <c r="A61" s="8" t="s">
        <v>518</v>
      </c>
      <c r="B61" s="8" t="s">
        <v>519</v>
      </c>
      <c r="C61" s="8" t="s">
        <v>520</v>
      </c>
      <c r="D61" s="8" t="s">
        <v>63</v>
      </c>
      <c r="E61" s="8" t="s">
        <v>359</v>
      </c>
      <c r="F61" s="8" t="s">
        <v>149</v>
      </c>
      <c r="G61" s="8" t="s">
        <v>86</v>
      </c>
      <c r="H61" s="8" t="s">
        <v>67</v>
      </c>
      <c r="I61" s="9" t="n">
        <v>1</v>
      </c>
      <c r="J61" s="8" t="s">
        <v>361</v>
      </c>
      <c r="K61" s="8" t="s">
        <v>231</v>
      </c>
      <c r="L61" s="10" t="s">
        <v>521</v>
      </c>
      <c r="M61" s="8" t="s">
        <v>522</v>
      </c>
      <c r="N61" s="8" t="s">
        <v>523</v>
      </c>
      <c r="O61" s="8" t="s">
        <v>102</v>
      </c>
      <c r="P61" s="8"/>
      <c r="Q61" s="9" t="s">
        <v>518</v>
      </c>
      <c r="R61" s="8" t="s">
        <v>103</v>
      </c>
      <c r="S61" s="8" t="s">
        <v>104</v>
      </c>
      <c r="T61" s="11" t="s">
        <v>77</v>
      </c>
      <c r="U61" s="8" t="s">
        <v>365</v>
      </c>
      <c r="V61" s="8" t="s">
        <v>217</v>
      </c>
      <c r="W61" s="8" t="n">
        <v>2</v>
      </c>
      <c r="X61" s="8" t="s">
        <v>366</v>
      </c>
      <c r="Y61" s="8" t="s">
        <v>367</v>
      </c>
      <c r="Z61" s="8" t="s">
        <v>368</v>
      </c>
      <c r="AA61" s="11"/>
      <c r="AB61" s="8"/>
    </row>
    <row r="62" customFormat="false" ht="15" hidden="false" customHeight="true" outlineLevel="0" collapsed="false">
      <c r="A62" s="8" t="s">
        <v>524</v>
      </c>
      <c r="B62" s="8" t="s">
        <v>525</v>
      </c>
      <c r="C62" s="8" t="s">
        <v>526</v>
      </c>
      <c r="D62" s="8" t="s">
        <v>63</v>
      </c>
      <c r="E62" s="8" t="s">
        <v>148</v>
      </c>
      <c r="F62" s="8" t="s">
        <v>149</v>
      </c>
      <c r="G62" s="8" t="s">
        <v>156</v>
      </c>
      <c r="H62" s="8" t="s">
        <v>67</v>
      </c>
      <c r="I62" s="9" t="n">
        <v>1</v>
      </c>
      <c r="J62" s="8" t="s">
        <v>142</v>
      </c>
      <c r="K62" s="8" t="s">
        <v>69</v>
      </c>
      <c r="L62" s="10" t="s">
        <v>527</v>
      </c>
      <c r="M62" s="8" t="s">
        <v>528</v>
      </c>
      <c r="N62" s="8" t="s">
        <v>529</v>
      </c>
      <c r="O62" s="8" t="s">
        <v>102</v>
      </c>
      <c r="P62" s="8"/>
      <c r="Q62" s="9" t="s">
        <v>524</v>
      </c>
      <c r="R62" s="8" t="s">
        <v>103</v>
      </c>
      <c r="S62" s="8" t="s">
        <v>104</v>
      </c>
      <c r="T62" s="11" t="s">
        <v>77</v>
      </c>
      <c r="U62" s="8" t="s">
        <v>78</v>
      </c>
      <c r="V62" s="8" t="s">
        <v>79</v>
      </c>
      <c r="W62" s="8" t="n">
        <v>2</v>
      </c>
      <c r="X62" s="8" t="s">
        <v>80</v>
      </c>
      <c r="Y62" s="8" t="s">
        <v>81</v>
      </c>
      <c r="Z62" s="8" t="s">
        <v>82</v>
      </c>
      <c r="AA62" s="11"/>
      <c r="AB62" s="8"/>
    </row>
    <row r="63" customFormat="false" ht="23.25" hidden="false" customHeight="true" outlineLevel="0" collapsed="false">
      <c r="A63" s="8" t="s">
        <v>530</v>
      </c>
      <c r="B63" s="8" t="s">
        <v>531</v>
      </c>
      <c r="C63" s="8" t="s">
        <v>532</v>
      </c>
      <c r="D63" s="8" t="s">
        <v>63</v>
      </c>
      <c r="E63" s="8" t="s">
        <v>148</v>
      </c>
      <c r="F63" s="8" t="s">
        <v>149</v>
      </c>
      <c r="G63" s="8" t="s">
        <v>86</v>
      </c>
      <c r="H63" s="8" t="s">
        <v>311</v>
      </c>
      <c r="I63" s="9" t="n">
        <v>3</v>
      </c>
      <c r="J63" s="8" t="s">
        <v>157</v>
      </c>
      <c r="K63" s="8" t="s">
        <v>231</v>
      </c>
      <c r="L63" s="10" t="s">
        <v>533</v>
      </c>
      <c r="M63" s="8" t="s">
        <v>534</v>
      </c>
      <c r="N63" s="8" t="s">
        <v>535</v>
      </c>
      <c r="O63" s="8" t="s">
        <v>102</v>
      </c>
      <c r="P63" s="8"/>
      <c r="Q63" s="9" t="s">
        <v>530</v>
      </c>
      <c r="R63" s="8" t="s">
        <v>103</v>
      </c>
      <c r="S63" s="8" t="s">
        <v>104</v>
      </c>
      <c r="T63" s="11" t="s">
        <v>77</v>
      </c>
      <c r="U63" s="8" t="s">
        <v>78</v>
      </c>
      <c r="V63" s="8" t="s">
        <v>79</v>
      </c>
      <c r="W63" s="8" t="n">
        <v>2</v>
      </c>
      <c r="X63" s="8" t="s">
        <v>80</v>
      </c>
      <c r="Y63" s="8" t="s">
        <v>81</v>
      </c>
      <c r="Z63" s="8" t="s">
        <v>82</v>
      </c>
      <c r="AA63" s="11"/>
      <c r="AB63" s="8"/>
    </row>
    <row r="64" customFormat="false" ht="15" hidden="false" customHeight="true" outlineLevel="0" collapsed="false">
      <c r="A64" s="8" t="s">
        <v>536</v>
      </c>
      <c r="B64" s="8" t="s">
        <v>537</v>
      </c>
      <c r="C64" s="8" t="s">
        <v>538</v>
      </c>
      <c r="D64" s="8" t="s">
        <v>63</v>
      </c>
      <c r="E64" s="8" t="s">
        <v>148</v>
      </c>
      <c r="F64" s="8" t="s">
        <v>149</v>
      </c>
      <c r="G64" s="8" t="s">
        <v>66</v>
      </c>
      <c r="H64" s="8" t="s">
        <v>208</v>
      </c>
      <c r="I64" s="9" t="n">
        <v>2</v>
      </c>
      <c r="J64" s="8" t="s">
        <v>539</v>
      </c>
      <c r="K64" s="8" t="s">
        <v>449</v>
      </c>
      <c r="L64" s="10" t="s">
        <v>540</v>
      </c>
      <c r="M64" s="8" t="s">
        <v>541</v>
      </c>
      <c r="N64" s="8" t="s">
        <v>542</v>
      </c>
      <c r="O64" s="8" t="s">
        <v>102</v>
      </c>
      <c r="P64" s="8"/>
      <c r="Q64" s="9" t="s">
        <v>536</v>
      </c>
      <c r="R64" s="8" t="s">
        <v>103</v>
      </c>
      <c r="S64" s="8" t="s">
        <v>104</v>
      </c>
      <c r="T64" s="11" t="s">
        <v>77</v>
      </c>
      <c r="U64" s="8" t="s">
        <v>78</v>
      </c>
      <c r="V64" s="8" t="s">
        <v>79</v>
      </c>
      <c r="W64" s="8" t="n">
        <v>2</v>
      </c>
      <c r="X64" s="8" t="s">
        <v>80</v>
      </c>
      <c r="Y64" s="8" t="s">
        <v>81</v>
      </c>
      <c r="Z64" s="8" t="s">
        <v>82</v>
      </c>
      <c r="AA64" s="11"/>
      <c r="AB64" s="8"/>
    </row>
    <row r="65" customFormat="false" ht="23.25" hidden="false" customHeight="true" outlineLevel="0" collapsed="false">
      <c r="A65" s="8" t="s">
        <v>543</v>
      </c>
      <c r="B65" s="8" t="s">
        <v>544</v>
      </c>
      <c r="C65" s="8" t="s">
        <v>545</v>
      </c>
      <c r="D65" s="8" t="s">
        <v>63</v>
      </c>
      <c r="E65" s="8" t="s">
        <v>546</v>
      </c>
      <c r="F65" s="8" t="s">
        <v>547</v>
      </c>
      <c r="G65" s="8" t="s">
        <v>66</v>
      </c>
      <c r="H65" s="8" t="s">
        <v>67</v>
      </c>
      <c r="I65" s="9" t="n">
        <v>1</v>
      </c>
      <c r="J65" s="8" t="s">
        <v>539</v>
      </c>
      <c r="K65" s="8" t="s">
        <v>69</v>
      </c>
      <c r="L65" s="10" t="s">
        <v>548</v>
      </c>
      <c r="M65" s="8" t="s">
        <v>549</v>
      </c>
      <c r="N65" s="8" t="s">
        <v>550</v>
      </c>
      <c r="O65" s="8" t="s">
        <v>102</v>
      </c>
      <c r="P65" s="8"/>
      <c r="Q65" s="9" t="s">
        <v>543</v>
      </c>
      <c r="R65" s="8" t="s">
        <v>103</v>
      </c>
      <c r="S65" s="8" t="s">
        <v>76</v>
      </c>
      <c r="T65" s="11" t="s">
        <v>77</v>
      </c>
      <c r="U65" s="8" t="s">
        <v>551</v>
      </c>
      <c r="V65" s="8" t="s">
        <v>217</v>
      </c>
      <c r="W65" s="8" t="n">
        <v>2</v>
      </c>
      <c r="X65" s="8" t="s">
        <v>552</v>
      </c>
      <c r="Y65" s="8" t="s">
        <v>390</v>
      </c>
      <c r="Z65" s="8" t="s">
        <v>248</v>
      </c>
      <c r="AA65" s="11"/>
      <c r="AB65" s="8"/>
    </row>
    <row r="66" customFormat="false" ht="23.25" hidden="false" customHeight="true" outlineLevel="0" collapsed="false">
      <c r="A66" s="8" t="s">
        <v>553</v>
      </c>
      <c r="B66" s="8" t="s">
        <v>554</v>
      </c>
      <c r="C66" s="8" t="s">
        <v>555</v>
      </c>
      <c r="D66" s="8" t="s">
        <v>63</v>
      </c>
      <c r="E66" s="8" t="s">
        <v>546</v>
      </c>
      <c r="F66" s="8" t="s">
        <v>547</v>
      </c>
      <c r="G66" s="8" t="s">
        <v>66</v>
      </c>
      <c r="H66" s="8" t="s">
        <v>67</v>
      </c>
      <c r="I66" s="9" t="n">
        <v>1</v>
      </c>
      <c r="J66" s="8" t="s">
        <v>230</v>
      </c>
      <c r="K66" s="8" t="s">
        <v>471</v>
      </c>
      <c r="L66" s="10" t="s">
        <v>556</v>
      </c>
      <c r="M66" s="8" t="s">
        <v>557</v>
      </c>
      <c r="N66" s="8" t="s">
        <v>558</v>
      </c>
      <c r="O66" s="8" t="s">
        <v>73</v>
      </c>
      <c r="P66" s="8" t="s">
        <v>543</v>
      </c>
      <c r="Q66" s="9" t="s">
        <v>553</v>
      </c>
      <c r="R66" s="8" t="s">
        <v>75</v>
      </c>
      <c r="S66" s="8" t="s">
        <v>131</v>
      </c>
      <c r="T66" s="11" t="s">
        <v>77</v>
      </c>
      <c r="U66" s="8" t="s">
        <v>551</v>
      </c>
      <c r="V66" s="8" t="s">
        <v>217</v>
      </c>
      <c r="W66" s="8" t="n">
        <v>2</v>
      </c>
      <c r="X66" s="8" t="s">
        <v>552</v>
      </c>
      <c r="Y66" s="8" t="s">
        <v>390</v>
      </c>
      <c r="Z66" s="8" t="s">
        <v>248</v>
      </c>
      <c r="AA66" s="11" t="s">
        <v>221</v>
      </c>
      <c r="AB66" s="8"/>
    </row>
    <row r="67" customFormat="false" ht="23.25" hidden="false" customHeight="true" outlineLevel="0" collapsed="false">
      <c r="A67" s="8" t="s">
        <v>559</v>
      </c>
      <c r="B67" s="8" t="s">
        <v>560</v>
      </c>
      <c r="C67" s="8" t="s">
        <v>561</v>
      </c>
      <c r="D67" s="8" t="s">
        <v>63</v>
      </c>
      <c r="E67" s="8" t="s">
        <v>546</v>
      </c>
      <c r="F67" s="8" t="s">
        <v>547</v>
      </c>
      <c r="G67" s="8" t="s">
        <v>86</v>
      </c>
      <c r="H67" s="8" t="s">
        <v>67</v>
      </c>
      <c r="I67" s="9" t="n">
        <v>1</v>
      </c>
      <c r="J67" s="8" t="s">
        <v>68</v>
      </c>
      <c r="K67" s="8" t="s">
        <v>98</v>
      </c>
      <c r="L67" s="10" t="s">
        <v>562</v>
      </c>
      <c r="M67" s="8" t="s">
        <v>563</v>
      </c>
      <c r="N67" s="8" t="s">
        <v>564</v>
      </c>
      <c r="O67" s="8" t="s">
        <v>102</v>
      </c>
      <c r="P67" s="8"/>
      <c r="Q67" s="9" t="s">
        <v>559</v>
      </c>
      <c r="R67" s="8" t="s">
        <v>103</v>
      </c>
      <c r="S67" s="8" t="s">
        <v>76</v>
      </c>
      <c r="T67" s="11" t="s">
        <v>77</v>
      </c>
      <c r="U67" s="8" t="s">
        <v>551</v>
      </c>
      <c r="V67" s="8" t="s">
        <v>79</v>
      </c>
      <c r="W67" s="8" t="n">
        <v>2</v>
      </c>
      <c r="X67" s="8" t="s">
        <v>552</v>
      </c>
      <c r="Y67" s="8" t="s">
        <v>390</v>
      </c>
      <c r="Z67" s="8" t="s">
        <v>248</v>
      </c>
      <c r="AA67" s="11"/>
      <c r="AB67" s="8"/>
    </row>
    <row r="68" customFormat="false" ht="23.25" hidden="false" customHeight="true" outlineLevel="0" collapsed="false">
      <c r="A68" s="8" t="s">
        <v>565</v>
      </c>
      <c r="B68" s="8" t="s">
        <v>566</v>
      </c>
      <c r="C68" s="8" t="s">
        <v>567</v>
      </c>
      <c r="D68" s="8" t="s">
        <v>63</v>
      </c>
      <c r="E68" s="8" t="s">
        <v>546</v>
      </c>
      <c r="F68" s="8" t="s">
        <v>547</v>
      </c>
      <c r="G68" s="8" t="s">
        <v>66</v>
      </c>
      <c r="H68" s="8" t="s">
        <v>67</v>
      </c>
      <c r="I68" s="9" t="n">
        <v>1</v>
      </c>
      <c r="J68" s="8" t="s">
        <v>68</v>
      </c>
      <c r="K68" s="8" t="s">
        <v>231</v>
      </c>
      <c r="L68" s="10" t="s">
        <v>568</v>
      </c>
      <c r="M68" s="8" t="s">
        <v>569</v>
      </c>
      <c r="N68" s="8" t="s">
        <v>570</v>
      </c>
      <c r="O68" s="8" t="s">
        <v>73</v>
      </c>
      <c r="P68" s="8" t="s">
        <v>571</v>
      </c>
      <c r="Q68" s="9" t="s">
        <v>565</v>
      </c>
      <c r="R68" s="8" t="s">
        <v>75</v>
      </c>
      <c r="S68" s="8" t="s">
        <v>131</v>
      </c>
      <c r="T68" s="11" t="s">
        <v>77</v>
      </c>
      <c r="U68" s="8" t="s">
        <v>551</v>
      </c>
      <c r="V68" s="8" t="s">
        <v>79</v>
      </c>
      <c r="W68" s="8" t="n">
        <v>2</v>
      </c>
      <c r="X68" s="8" t="s">
        <v>552</v>
      </c>
      <c r="Y68" s="8" t="s">
        <v>390</v>
      </c>
      <c r="Z68" s="8" t="s">
        <v>248</v>
      </c>
      <c r="AA68" s="11"/>
      <c r="AB68" s="8"/>
    </row>
    <row r="69" customFormat="false" ht="23.25" hidden="false" customHeight="true" outlineLevel="0" collapsed="false">
      <c r="A69" s="8" t="s">
        <v>572</v>
      </c>
      <c r="B69" s="8" t="s">
        <v>573</v>
      </c>
      <c r="C69" s="8" t="s">
        <v>574</v>
      </c>
      <c r="D69" s="8" t="s">
        <v>63</v>
      </c>
      <c r="E69" s="8" t="s">
        <v>165</v>
      </c>
      <c r="F69" s="8" t="s">
        <v>547</v>
      </c>
      <c r="G69" s="8" t="s">
        <v>66</v>
      </c>
      <c r="H69" s="8" t="s">
        <v>67</v>
      </c>
      <c r="I69" s="9" t="n">
        <v>1</v>
      </c>
      <c r="J69" s="8" t="s">
        <v>157</v>
      </c>
      <c r="K69" s="8" t="s">
        <v>69</v>
      </c>
      <c r="L69" s="10" t="s">
        <v>575</v>
      </c>
      <c r="M69" s="8" t="s">
        <v>576</v>
      </c>
      <c r="N69" s="8" t="s">
        <v>577</v>
      </c>
      <c r="O69" s="8" t="s">
        <v>102</v>
      </c>
      <c r="P69" s="8"/>
      <c r="Q69" s="9" t="s">
        <v>572</v>
      </c>
      <c r="R69" s="8" t="s">
        <v>103</v>
      </c>
      <c r="S69" s="8" t="s">
        <v>104</v>
      </c>
      <c r="T69" s="11" t="s">
        <v>77</v>
      </c>
      <c r="U69" s="8" t="s">
        <v>551</v>
      </c>
      <c r="V69" s="8" t="s">
        <v>79</v>
      </c>
      <c r="W69" s="8" t="n">
        <v>2</v>
      </c>
      <c r="X69" s="8" t="s">
        <v>552</v>
      </c>
      <c r="Y69" s="8" t="s">
        <v>390</v>
      </c>
      <c r="Z69" s="8" t="s">
        <v>248</v>
      </c>
      <c r="AA69" s="11"/>
      <c r="AB69" s="8"/>
    </row>
    <row r="70" customFormat="false" ht="23.25" hidden="false" customHeight="true" outlineLevel="0" collapsed="false">
      <c r="A70" s="8" t="s">
        <v>578</v>
      </c>
      <c r="B70" s="8" t="s">
        <v>579</v>
      </c>
      <c r="C70" s="8" t="s">
        <v>580</v>
      </c>
      <c r="D70" s="8" t="s">
        <v>63</v>
      </c>
      <c r="E70" s="8" t="s">
        <v>346</v>
      </c>
      <c r="F70" s="8" t="s">
        <v>346</v>
      </c>
      <c r="G70" s="8" t="s">
        <v>156</v>
      </c>
      <c r="H70" s="8" t="s">
        <v>67</v>
      </c>
      <c r="I70" s="9" t="n">
        <v>1</v>
      </c>
      <c r="J70" s="8" t="s">
        <v>166</v>
      </c>
      <c r="K70" s="8" t="s">
        <v>98</v>
      </c>
      <c r="L70" s="10" t="s">
        <v>581</v>
      </c>
      <c r="M70" s="8" t="s">
        <v>582</v>
      </c>
      <c r="N70" s="8" t="s">
        <v>583</v>
      </c>
      <c r="O70" s="8" t="s">
        <v>129</v>
      </c>
      <c r="P70" s="8"/>
      <c r="Q70" s="9" t="s">
        <v>578</v>
      </c>
      <c r="R70" s="8" t="s">
        <v>103</v>
      </c>
      <c r="S70" s="8" t="s">
        <v>104</v>
      </c>
      <c r="T70" s="11" t="s">
        <v>77</v>
      </c>
      <c r="U70" s="8" t="s">
        <v>584</v>
      </c>
      <c r="V70" s="8" t="s">
        <v>79</v>
      </c>
      <c r="W70" s="8" t="n">
        <v>2</v>
      </c>
      <c r="X70" s="8" t="s">
        <v>585</v>
      </c>
      <c r="Y70" s="8" t="s">
        <v>586</v>
      </c>
      <c r="Z70" s="8" t="s">
        <v>587</v>
      </c>
      <c r="AA70" s="11"/>
      <c r="AB70" s="8"/>
    </row>
    <row r="71" customFormat="false" ht="23.25" hidden="false" customHeight="true" outlineLevel="0" collapsed="false">
      <c r="A71" s="8" t="s">
        <v>588</v>
      </c>
      <c r="B71" s="8" t="s">
        <v>589</v>
      </c>
      <c r="C71" s="8" t="s">
        <v>590</v>
      </c>
      <c r="D71" s="8" t="s">
        <v>63</v>
      </c>
      <c r="E71" s="8" t="s">
        <v>346</v>
      </c>
      <c r="F71" s="8" t="s">
        <v>346</v>
      </c>
      <c r="G71" s="8" t="s">
        <v>86</v>
      </c>
      <c r="H71" s="8" t="s">
        <v>311</v>
      </c>
      <c r="I71" s="9" t="n">
        <v>3</v>
      </c>
      <c r="J71" s="8" t="s">
        <v>142</v>
      </c>
      <c r="K71" s="8" t="s">
        <v>231</v>
      </c>
      <c r="L71" s="10" t="s">
        <v>591</v>
      </c>
      <c r="M71" s="8" t="s">
        <v>592</v>
      </c>
      <c r="N71" s="8" t="s">
        <v>593</v>
      </c>
      <c r="O71" s="8" t="s">
        <v>73</v>
      </c>
      <c r="P71" s="8"/>
      <c r="Q71" s="9" t="s">
        <v>588</v>
      </c>
      <c r="R71" s="8" t="s">
        <v>103</v>
      </c>
      <c r="S71" s="8" t="s">
        <v>131</v>
      </c>
      <c r="T71" s="11" t="s">
        <v>77</v>
      </c>
      <c r="U71" s="8" t="s">
        <v>584</v>
      </c>
      <c r="V71" s="8" t="s">
        <v>132</v>
      </c>
      <c r="W71" s="8" t="n">
        <v>1</v>
      </c>
      <c r="X71" s="8" t="s">
        <v>585</v>
      </c>
      <c r="Y71" s="8" t="s">
        <v>586</v>
      </c>
      <c r="Z71" s="8" t="s">
        <v>587</v>
      </c>
      <c r="AA71" s="11"/>
      <c r="AB71" s="8"/>
    </row>
    <row r="72" customFormat="false" ht="23.25" hidden="false" customHeight="true" outlineLevel="0" collapsed="false">
      <c r="A72" s="8" t="s">
        <v>594</v>
      </c>
      <c r="B72" s="8" t="s">
        <v>595</v>
      </c>
      <c r="C72" s="8" t="s">
        <v>596</v>
      </c>
      <c r="D72" s="8" t="s">
        <v>63</v>
      </c>
      <c r="E72" s="8" t="s">
        <v>185</v>
      </c>
      <c r="F72" s="8" t="s">
        <v>184</v>
      </c>
      <c r="G72" s="8" t="s">
        <v>86</v>
      </c>
      <c r="H72" s="8" t="s">
        <v>67</v>
      </c>
      <c r="I72" s="9" t="n">
        <v>1</v>
      </c>
      <c r="J72" s="8" t="s">
        <v>361</v>
      </c>
      <c r="K72" s="8" t="s">
        <v>231</v>
      </c>
      <c r="L72" s="10" t="s">
        <v>597</v>
      </c>
      <c r="M72" s="8" t="s">
        <v>598</v>
      </c>
      <c r="N72" s="8" t="s">
        <v>599</v>
      </c>
      <c r="O72" s="8" t="s">
        <v>102</v>
      </c>
      <c r="P72" s="8"/>
      <c r="Q72" s="9" t="s">
        <v>594</v>
      </c>
      <c r="R72" s="8" t="s">
        <v>103</v>
      </c>
      <c r="S72" s="8" t="s">
        <v>104</v>
      </c>
      <c r="T72" s="11" t="s">
        <v>77</v>
      </c>
      <c r="U72" s="8" t="s">
        <v>584</v>
      </c>
      <c r="V72" s="8" t="s">
        <v>79</v>
      </c>
      <c r="W72" s="8" t="n">
        <v>2</v>
      </c>
      <c r="X72" s="8" t="s">
        <v>585</v>
      </c>
      <c r="Y72" s="8" t="s">
        <v>586</v>
      </c>
      <c r="Z72" s="8" t="s">
        <v>587</v>
      </c>
      <c r="AA72" s="11"/>
      <c r="AB72" s="8"/>
    </row>
    <row r="73" customFormat="false" ht="23.25" hidden="false" customHeight="true" outlineLevel="0" collapsed="false">
      <c r="A73" s="8" t="s">
        <v>600</v>
      </c>
      <c r="B73" s="8" t="s">
        <v>601</v>
      </c>
      <c r="C73" s="8" t="s">
        <v>602</v>
      </c>
      <c r="D73" s="8" t="s">
        <v>63</v>
      </c>
      <c r="E73" s="8" t="s">
        <v>359</v>
      </c>
      <c r="F73" s="8" t="s">
        <v>360</v>
      </c>
      <c r="G73" s="8" t="s">
        <v>86</v>
      </c>
      <c r="H73" s="8" t="s">
        <v>603</v>
      </c>
      <c r="I73" s="9" t="n">
        <v>1</v>
      </c>
      <c r="J73" s="8" t="s">
        <v>236</v>
      </c>
      <c r="K73" s="8" t="s">
        <v>604</v>
      </c>
      <c r="L73" s="10" t="s">
        <v>605</v>
      </c>
      <c r="M73" s="8" t="s">
        <v>606</v>
      </c>
      <c r="N73" s="8" t="s">
        <v>607</v>
      </c>
      <c r="O73" s="8" t="s">
        <v>102</v>
      </c>
      <c r="P73" s="8"/>
      <c r="Q73" s="9" t="s">
        <v>600</v>
      </c>
      <c r="R73" s="8" t="s">
        <v>103</v>
      </c>
      <c r="S73" s="8" t="s">
        <v>215</v>
      </c>
      <c r="T73" s="11" t="s">
        <v>77</v>
      </c>
      <c r="U73" s="8" t="s">
        <v>365</v>
      </c>
      <c r="V73" s="8" t="s">
        <v>217</v>
      </c>
      <c r="W73" s="8" t="n">
        <v>2</v>
      </c>
      <c r="X73" s="8" t="s">
        <v>366</v>
      </c>
      <c r="Y73" s="8" t="s">
        <v>367</v>
      </c>
      <c r="Z73" s="8" t="s">
        <v>368</v>
      </c>
      <c r="AA73" s="11" t="s">
        <v>257</v>
      </c>
      <c r="AB73" s="8"/>
    </row>
    <row r="74" customFormat="false" ht="23.25" hidden="false" customHeight="true" outlineLevel="0" collapsed="false">
      <c r="A74" s="8" t="s">
        <v>608</v>
      </c>
      <c r="B74" s="8" t="s">
        <v>609</v>
      </c>
      <c r="C74" s="8" t="s">
        <v>610</v>
      </c>
      <c r="D74" s="8" t="s">
        <v>63</v>
      </c>
      <c r="E74" s="8" t="s">
        <v>359</v>
      </c>
      <c r="F74" s="8" t="s">
        <v>360</v>
      </c>
      <c r="G74" s="8" t="s">
        <v>86</v>
      </c>
      <c r="H74" s="8" t="s">
        <v>603</v>
      </c>
      <c r="I74" s="9" t="n">
        <v>1</v>
      </c>
      <c r="J74" s="8" t="s">
        <v>361</v>
      </c>
      <c r="K74" s="8" t="s">
        <v>231</v>
      </c>
      <c r="L74" s="10" t="s">
        <v>611</v>
      </c>
      <c r="M74" s="8" t="s">
        <v>612</v>
      </c>
      <c r="N74" s="8" t="s">
        <v>613</v>
      </c>
      <c r="O74" s="8" t="s">
        <v>102</v>
      </c>
      <c r="P74" s="8"/>
      <c r="Q74" s="9" t="s">
        <v>608</v>
      </c>
      <c r="R74" s="8" t="s">
        <v>103</v>
      </c>
      <c r="S74" s="8" t="s">
        <v>215</v>
      </c>
      <c r="T74" s="11" t="s">
        <v>77</v>
      </c>
      <c r="U74" s="8" t="s">
        <v>365</v>
      </c>
      <c r="V74" s="8" t="s">
        <v>217</v>
      </c>
      <c r="W74" s="8" t="n">
        <v>2</v>
      </c>
      <c r="X74" s="8" t="s">
        <v>366</v>
      </c>
      <c r="Y74" s="8" t="s">
        <v>367</v>
      </c>
      <c r="Z74" s="8" t="s">
        <v>368</v>
      </c>
      <c r="AA74" s="11"/>
      <c r="AB74" s="8"/>
    </row>
    <row r="75" customFormat="false" ht="23.25" hidden="false" customHeight="true" outlineLevel="0" collapsed="false">
      <c r="A75" s="8" t="s">
        <v>614</v>
      </c>
      <c r="B75" s="8" t="s">
        <v>615</v>
      </c>
      <c r="C75" s="8" t="s">
        <v>616</v>
      </c>
      <c r="D75" s="8" t="s">
        <v>63</v>
      </c>
      <c r="E75" s="8" t="s">
        <v>359</v>
      </c>
      <c r="F75" s="8" t="s">
        <v>360</v>
      </c>
      <c r="G75" s="8" t="s">
        <v>86</v>
      </c>
      <c r="H75" s="8" t="s">
        <v>603</v>
      </c>
      <c r="I75" s="9" t="n">
        <v>1</v>
      </c>
      <c r="J75" s="8" t="s">
        <v>142</v>
      </c>
      <c r="K75" s="8" t="s">
        <v>231</v>
      </c>
      <c r="L75" s="10" t="s">
        <v>617</v>
      </c>
      <c r="M75" s="8" t="s">
        <v>618</v>
      </c>
      <c r="N75" s="8" t="s">
        <v>619</v>
      </c>
      <c r="O75" s="8" t="s">
        <v>129</v>
      </c>
      <c r="P75" s="8" t="s">
        <v>600</v>
      </c>
      <c r="Q75" s="9" t="s">
        <v>600</v>
      </c>
      <c r="R75" s="8" t="s">
        <v>92</v>
      </c>
      <c r="S75" s="8" t="s">
        <v>131</v>
      </c>
      <c r="T75" s="11" t="s">
        <v>77</v>
      </c>
      <c r="U75" s="8" t="s">
        <v>365</v>
      </c>
      <c r="V75" s="8" t="s">
        <v>132</v>
      </c>
      <c r="W75" s="8" t="n">
        <v>1</v>
      </c>
      <c r="X75" s="8" t="s">
        <v>366</v>
      </c>
      <c r="Y75" s="8" t="s">
        <v>367</v>
      </c>
      <c r="Z75" s="8" t="s">
        <v>368</v>
      </c>
      <c r="AA75" s="11"/>
      <c r="AB75" s="8"/>
    </row>
    <row r="76" customFormat="false" ht="23.25" hidden="false" customHeight="true" outlineLevel="0" collapsed="false">
      <c r="A76" s="8" t="s">
        <v>620</v>
      </c>
      <c r="B76" s="8" t="s">
        <v>621</v>
      </c>
      <c r="C76" s="8" t="s">
        <v>622</v>
      </c>
      <c r="D76" s="8" t="s">
        <v>63</v>
      </c>
      <c r="E76" s="8" t="s">
        <v>359</v>
      </c>
      <c r="F76" s="8" t="s">
        <v>360</v>
      </c>
      <c r="G76" s="8" t="s">
        <v>86</v>
      </c>
      <c r="H76" s="8" t="s">
        <v>603</v>
      </c>
      <c r="I76" s="9" t="n">
        <v>1</v>
      </c>
      <c r="J76" s="8" t="s">
        <v>623</v>
      </c>
      <c r="K76" s="8" t="s">
        <v>69</v>
      </c>
      <c r="L76" s="10" t="s">
        <v>624</v>
      </c>
      <c r="M76" s="8" t="s">
        <v>625</v>
      </c>
      <c r="N76" s="8" t="s">
        <v>626</v>
      </c>
      <c r="O76" s="8" t="s">
        <v>73</v>
      </c>
      <c r="P76" s="8"/>
      <c r="Q76" s="9" t="s">
        <v>620</v>
      </c>
      <c r="R76" s="8" t="s">
        <v>75</v>
      </c>
      <c r="S76" s="8" t="s">
        <v>76</v>
      </c>
      <c r="T76" s="11" t="s">
        <v>77</v>
      </c>
      <c r="U76" s="8" t="s">
        <v>365</v>
      </c>
      <c r="V76" s="8" t="s">
        <v>132</v>
      </c>
      <c r="W76" s="8" t="n">
        <v>1</v>
      </c>
      <c r="X76" s="8" t="s">
        <v>366</v>
      </c>
      <c r="Y76" s="8" t="s">
        <v>367</v>
      </c>
      <c r="Z76" s="8" t="s">
        <v>368</v>
      </c>
      <c r="AA76" s="11"/>
      <c r="AB76" s="8"/>
    </row>
    <row r="77" customFormat="false" ht="23.25" hidden="false" customHeight="true" outlineLevel="0" collapsed="false">
      <c r="A77" s="8" t="s">
        <v>627</v>
      </c>
      <c r="B77" s="8" t="s">
        <v>628</v>
      </c>
      <c r="C77" s="8" t="s">
        <v>502</v>
      </c>
      <c r="D77" s="8" t="s">
        <v>63</v>
      </c>
      <c r="E77" s="8" t="s">
        <v>359</v>
      </c>
      <c r="F77" s="8" t="s">
        <v>360</v>
      </c>
      <c r="G77" s="8" t="s">
        <v>86</v>
      </c>
      <c r="H77" s="8" t="s">
        <v>603</v>
      </c>
      <c r="I77" s="9" t="n">
        <v>1</v>
      </c>
      <c r="J77" s="8" t="s">
        <v>236</v>
      </c>
      <c r="K77" s="8" t="s">
        <v>604</v>
      </c>
      <c r="L77" s="10" t="s">
        <v>629</v>
      </c>
      <c r="M77" s="8" t="s">
        <v>630</v>
      </c>
      <c r="N77" s="8" t="s">
        <v>631</v>
      </c>
      <c r="O77" s="8" t="s">
        <v>102</v>
      </c>
      <c r="P77" s="8"/>
      <c r="Q77" s="9" t="s">
        <v>627</v>
      </c>
      <c r="R77" s="8" t="s">
        <v>103</v>
      </c>
      <c r="S77" s="8" t="s">
        <v>215</v>
      </c>
      <c r="T77" s="11" t="s">
        <v>77</v>
      </c>
      <c r="U77" s="8" t="s">
        <v>365</v>
      </c>
      <c r="V77" s="8" t="s">
        <v>217</v>
      </c>
      <c r="W77" s="8" t="n">
        <v>2</v>
      </c>
      <c r="X77" s="8" t="s">
        <v>366</v>
      </c>
      <c r="Y77" s="8" t="s">
        <v>367</v>
      </c>
      <c r="Z77" s="8" t="s">
        <v>368</v>
      </c>
      <c r="AA77" s="11"/>
      <c r="AB77" s="8"/>
    </row>
    <row r="78" customFormat="false" ht="23.25" hidden="false" customHeight="true" outlineLevel="0" collapsed="false">
      <c r="A78" s="8" t="s">
        <v>632</v>
      </c>
      <c r="B78" s="8" t="s">
        <v>633</v>
      </c>
      <c r="C78" s="8" t="s">
        <v>634</v>
      </c>
      <c r="D78" s="8" t="s">
        <v>63</v>
      </c>
      <c r="E78" s="8" t="s">
        <v>359</v>
      </c>
      <c r="F78" s="8" t="s">
        <v>360</v>
      </c>
      <c r="G78" s="8" t="s">
        <v>86</v>
      </c>
      <c r="H78" s="8" t="s">
        <v>603</v>
      </c>
      <c r="I78" s="9" t="n">
        <v>1</v>
      </c>
      <c r="J78" s="8" t="s">
        <v>635</v>
      </c>
      <c r="K78" s="8" t="s">
        <v>231</v>
      </c>
      <c r="L78" s="10" t="s">
        <v>636</v>
      </c>
      <c r="M78" s="8" t="s">
        <v>637</v>
      </c>
      <c r="N78" s="8" t="s">
        <v>638</v>
      </c>
      <c r="O78" s="8" t="s">
        <v>102</v>
      </c>
      <c r="P78" s="8"/>
      <c r="Q78" s="9" t="s">
        <v>632</v>
      </c>
      <c r="R78" s="8" t="s">
        <v>103</v>
      </c>
      <c r="S78" s="8" t="s">
        <v>215</v>
      </c>
      <c r="T78" s="11" t="s">
        <v>77</v>
      </c>
      <c r="U78" s="8" t="s">
        <v>365</v>
      </c>
      <c r="V78" s="8" t="s">
        <v>79</v>
      </c>
      <c r="W78" s="8" t="n">
        <v>2</v>
      </c>
      <c r="X78" s="8" t="s">
        <v>366</v>
      </c>
      <c r="Y78" s="8" t="s">
        <v>367</v>
      </c>
      <c r="Z78" s="8" t="s">
        <v>368</v>
      </c>
      <c r="AA78" s="11"/>
      <c r="AB78" s="8"/>
    </row>
    <row r="79" customFormat="false" ht="23.25" hidden="false" customHeight="true" outlineLevel="0" collapsed="false">
      <c r="A79" s="8" t="s">
        <v>639</v>
      </c>
      <c r="B79" s="8" t="s">
        <v>640</v>
      </c>
      <c r="C79" s="8" t="s">
        <v>641</v>
      </c>
      <c r="D79" s="8" t="s">
        <v>63</v>
      </c>
      <c r="E79" s="8" t="s">
        <v>359</v>
      </c>
      <c r="F79" s="8" t="s">
        <v>360</v>
      </c>
      <c r="G79" s="8" t="s">
        <v>86</v>
      </c>
      <c r="H79" s="8" t="s">
        <v>603</v>
      </c>
      <c r="I79" s="9" t="n">
        <v>1</v>
      </c>
      <c r="J79" s="8" t="s">
        <v>361</v>
      </c>
      <c r="K79" s="8" t="s">
        <v>231</v>
      </c>
      <c r="L79" s="10" t="s">
        <v>642</v>
      </c>
      <c r="M79" s="8" t="s">
        <v>643</v>
      </c>
      <c r="N79" s="8" t="s">
        <v>644</v>
      </c>
      <c r="O79" s="8" t="s">
        <v>102</v>
      </c>
      <c r="P79" s="8"/>
      <c r="Q79" s="9" t="s">
        <v>639</v>
      </c>
      <c r="R79" s="8" t="s">
        <v>103</v>
      </c>
      <c r="S79" s="8" t="s">
        <v>104</v>
      </c>
      <c r="T79" s="11" t="s">
        <v>77</v>
      </c>
      <c r="U79" s="8" t="s">
        <v>365</v>
      </c>
      <c r="V79" s="8" t="s">
        <v>217</v>
      </c>
      <c r="W79" s="8" t="n">
        <v>2</v>
      </c>
      <c r="X79" s="8" t="s">
        <v>366</v>
      </c>
      <c r="Y79" s="8" t="s">
        <v>367</v>
      </c>
      <c r="Z79" s="8" t="s">
        <v>368</v>
      </c>
      <c r="AA79" s="11"/>
      <c r="AB79" s="8"/>
    </row>
    <row r="80" customFormat="false" ht="23.25" hidden="false" customHeight="true" outlineLevel="0" collapsed="false">
      <c r="A80" s="8" t="s">
        <v>645</v>
      </c>
      <c r="B80" s="8" t="s">
        <v>646</v>
      </c>
      <c r="C80" s="8" t="s">
        <v>206</v>
      </c>
      <c r="D80" s="8" t="s">
        <v>120</v>
      </c>
      <c r="E80" s="8" t="s">
        <v>359</v>
      </c>
      <c r="F80" s="8" t="s">
        <v>360</v>
      </c>
      <c r="G80" s="8" t="s">
        <v>86</v>
      </c>
      <c r="H80" s="8" t="s">
        <v>603</v>
      </c>
      <c r="I80" s="9" t="n">
        <v>1</v>
      </c>
      <c r="J80" s="8" t="s">
        <v>361</v>
      </c>
      <c r="K80" s="8" t="s">
        <v>231</v>
      </c>
      <c r="L80" s="10" t="s">
        <v>647</v>
      </c>
      <c r="M80" s="8" t="s">
        <v>648</v>
      </c>
      <c r="N80" s="8" t="s">
        <v>649</v>
      </c>
      <c r="O80" s="8" t="s">
        <v>102</v>
      </c>
      <c r="P80" s="8"/>
      <c r="Q80" s="9" t="s">
        <v>645</v>
      </c>
      <c r="R80" s="8" t="s">
        <v>103</v>
      </c>
      <c r="S80" s="8" t="s">
        <v>104</v>
      </c>
      <c r="T80" s="11" t="s">
        <v>77</v>
      </c>
      <c r="U80" s="8" t="s">
        <v>365</v>
      </c>
      <c r="V80" s="8" t="s">
        <v>217</v>
      </c>
      <c r="W80" s="8" t="n">
        <v>2</v>
      </c>
      <c r="X80" s="8" t="s">
        <v>366</v>
      </c>
      <c r="Y80" s="8" t="s">
        <v>367</v>
      </c>
      <c r="Z80" s="8" t="s">
        <v>368</v>
      </c>
      <c r="AA80" s="11"/>
      <c r="AB80" s="8"/>
    </row>
    <row r="81" customFormat="false" ht="23.25" hidden="false" customHeight="true" outlineLevel="0" collapsed="false">
      <c r="A81" s="8" t="s">
        <v>650</v>
      </c>
      <c r="B81" s="8" t="s">
        <v>651</v>
      </c>
      <c r="C81" s="8" t="s">
        <v>206</v>
      </c>
      <c r="D81" s="8" t="s">
        <v>141</v>
      </c>
      <c r="E81" s="8" t="s">
        <v>359</v>
      </c>
      <c r="F81" s="8" t="s">
        <v>360</v>
      </c>
      <c r="G81" s="8" t="s">
        <v>86</v>
      </c>
      <c r="H81" s="8" t="s">
        <v>603</v>
      </c>
      <c r="I81" s="9" t="n">
        <v>1</v>
      </c>
      <c r="J81" s="8" t="s">
        <v>361</v>
      </c>
      <c r="K81" s="8" t="s">
        <v>231</v>
      </c>
      <c r="L81" s="10" t="s">
        <v>652</v>
      </c>
      <c r="M81" s="8" t="s">
        <v>653</v>
      </c>
      <c r="N81" s="8" t="s">
        <v>654</v>
      </c>
      <c r="O81" s="8" t="s">
        <v>102</v>
      </c>
      <c r="P81" s="8"/>
      <c r="Q81" s="9" t="s">
        <v>650</v>
      </c>
      <c r="R81" s="8" t="s">
        <v>103</v>
      </c>
      <c r="S81" s="8" t="s">
        <v>104</v>
      </c>
      <c r="T81" s="11" t="s">
        <v>77</v>
      </c>
      <c r="U81" s="8" t="s">
        <v>365</v>
      </c>
      <c r="V81" s="8" t="s">
        <v>217</v>
      </c>
      <c r="W81" s="8" t="n">
        <v>2</v>
      </c>
      <c r="X81" s="8" t="s">
        <v>366</v>
      </c>
      <c r="Y81" s="8" t="s">
        <v>367</v>
      </c>
      <c r="Z81" s="8" t="s">
        <v>368</v>
      </c>
      <c r="AA81" s="11"/>
      <c r="AB81" s="8"/>
    </row>
    <row r="82" customFormat="false" ht="23.25" hidden="false" customHeight="true" outlineLevel="0" collapsed="false">
      <c r="A82" s="8" t="s">
        <v>655</v>
      </c>
      <c r="B82" s="8" t="s">
        <v>656</v>
      </c>
      <c r="C82" s="8" t="s">
        <v>206</v>
      </c>
      <c r="D82" s="8" t="s">
        <v>114</v>
      </c>
      <c r="E82" s="8" t="s">
        <v>359</v>
      </c>
      <c r="F82" s="8" t="s">
        <v>360</v>
      </c>
      <c r="G82" s="8" t="s">
        <v>86</v>
      </c>
      <c r="H82" s="8" t="s">
        <v>603</v>
      </c>
      <c r="I82" s="9" t="n">
        <v>1</v>
      </c>
      <c r="J82" s="8" t="s">
        <v>361</v>
      </c>
      <c r="K82" s="8" t="s">
        <v>231</v>
      </c>
      <c r="L82" s="10" t="s">
        <v>657</v>
      </c>
      <c r="M82" s="8" t="s">
        <v>658</v>
      </c>
      <c r="N82" s="8" t="s">
        <v>659</v>
      </c>
      <c r="O82" s="8" t="s">
        <v>102</v>
      </c>
      <c r="P82" s="8"/>
      <c r="Q82" s="9" t="s">
        <v>655</v>
      </c>
      <c r="R82" s="8" t="s">
        <v>103</v>
      </c>
      <c r="S82" s="8" t="s">
        <v>104</v>
      </c>
      <c r="T82" s="11" t="s">
        <v>77</v>
      </c>
      <c r="U82" s="8" t="s">
        <v>365</v>
      </c>
      <c r="V82" s="8" t="s">
        <v>217</v>
      </c>
      <c r="W82" s="8" t="n">
        <v>2</v>
      </c>
      <c r="X82" s="8" t="s">
        <v>366</v>
      </c>
      <c r="Y82" s="8" t="s">
        <v>367</v>
      </c>
      <c r="Z82" s="8" t="s">
        <v>368</v>
      </c>
      <c r="AA82" s="11"/>
      <c r="AB82" s="8"/>
    </row>
    <row r="83" customFormat="false" ht="23.25" hidden="false" customHeight="true" outlineLevel="0" collapsed="false">
      <c r="A83" s="8" t="s">
        <v>660</v>
      </c>
      <c r="B83" s="8" t="s">
        <v>661</v>
      </c>
      <c r="C83" s="8" t="s">
        <v>662</v>
      </c>
      <c r="D83" s="8" t="s">
        <v>114</v>
      </c>
      <c r="E83" s="8" t="s">
        <v>359</v>
      </c>
      <c r="F83" s="8" t="s">
        <v>360</v>
      </c>
      <c r="G83" s="8" t="s">
        <v>86</v>
      </c>
      <c r="H83" s="8" t="s">
        <v>603</v>
      </c>
      <c r="I83" s="9" t="n">
        <v>1</v>
      </c>
      <c r="J83" s="8" t="s">
        <v>361</v>
      </c>
      <c r="K83" s="8" t="s">
        <v>231</v>
      </c>
      <c r="L83" s="10" t="s">
        <v>663</v>
      </c>
      <c r="M83" s="8" t="s">
        <v>664</v>
      </c>
      <c r="N83" s="8" t="s">
        <v>665</v>
      </c>
      <c r="O83" s="8" t="s">
        <v>102</v>
      </c>
      <c r="P83" s="8"/>
      <c r="Q83" s="9" t="s">
        <v>660</v>
      </c>
      <c r="R83" s="8" t="s">
        <v>103</v>
      </c>
      <c r="S83" s="8" t="s">
        <v>104</v>
      </c>
      <c r="T83" s="11" t="s">
        <v>77</v>
      </c>
      <c r="U83" s="8" t="s">
        <v>365</v>
      </c>
      <c r="V83" s="8" t="s">
        <v>217</v>
      </c>
      <c r="W83" s="8" t="n">
        <v>2</v>
      </c>
      <c r="X83" s="8" t="s">
        <v>366</v>
      </c>
      <c r="Y83" s="8" t="s">
        <v>367</v>
      </c>
      <c r="Z83" s="8" t="s">
        <v>368</v>
      </c>
      <c r="AA83" s="11"/>
      <c r="AB83" s="8"/>
    </row>
    <row r="84" customFormat="false" ht="23.25" hidden="false" customHeight="true" outlineLevel="0" collapsed="false">
      <c r="A84" s="8" t="s">
        <v>666</v>
      </c>
      <c r="B84" s="8" t="s">
        <v>667</v>
      </c>
      <c r="C84" s="8" t="s">
        <v>383</v>
      </c>
      <c r="D84" s="8" t="s">
        <v>63</v>
      </c>
      <c r="E84" s="8" t="s">
        <v>359</v>
      </c>
      <c r="F84" s="8" t="s">
        <v>360</v>
      </c>
      <c r="G84" s="8" t="s">
        <v>86</v>
      </c>
      <c r="H84" s="8" t="s">
        <v>603</v>
      </c>
      <c r="I84" s="9" t="n">
        <v>1</v>
      </c>
      <c r="J84" s="8" t="s">
        <v>361</v>
      </c>
      <c r="K84" s="8" t="s">
        <v>231</v>
      </c>
      <c r="L84" s="10" t="s">
        <v>385</v>
      </c>
      <c r="M84" s="8" t="s">
        <v>668</v>
      </c>
      <c r="N84" s="8" t="s">
        <v>669</v>
      </c>
      <c r="O84" s="8" t="s">
        <v>102</v>
      </c>
      <c r="P84" s="8"/>
      <c r="Q84" s="9" t="s">
        <v>666</v>
      </c>
      <c r="R84" s="8" t="s">
        <v>103</v>
      </c>
      <c r="S84" s="8" t="s">
        <v>104</v>
      </c>
      <c r="T84" s="11" t="s">
        <v>77</v>
      </c>
      <c r="U84" s="8" t="s">
        <v>388</v>
      </c>
      <c r="V84" s="8" t="s">
        <v>217</v>
      </c>
      <c r="W84" s="8" t="n">
        <v>2</v>
      </c>
      <c r="X84" s="8" t="s">
        <v>389</v>
      </c>
      <c r="Y84" s="8" t="s">
        <v>390</v>
      </c>
      <c r="Z84" s="8" t="s">
        <v>391</v>
      </c>
      <c r="AA84" s="11"/>
      <c r="AB84" s="8"/>
    </row>
    <row r="85" customFormat="false" ht="23.25" hidden="false" customHeight="true" outlineLevel="0" collapsed="false">
      <c r="A85" s="8" t="s">
        <v>670</v>
      </c>
      <c r="B85" s="8" t="s">
        <v>671</v>
      </c>
      <c r="C85" s="8" t="s">
        <v>520</v>
      </c>
      <c r="D85" s="8" t="s">
        <v>141</v>
      </c>
      <c r="E85" s="8" t="s">
        <v>359</v>
      </c>
      <c r="F85" s="8" t="s">
        <v>360</v>
      </c>
      <c r="G85" s="8" t="s">
        <v>86</v>
      </c>
      <c r="H85" s="8" t="s">
        <v>603</v>
      </c>
      <c r="I85" s="9" t="n">
        <v>1</v>
      </c>
      <c r="J85" s="8" t="s">
        <v>361</v>
      </c>
      <c r="K85" s="8" t="s">
        <v>231</v>
      </c>
      <c r="L85" s="10" t="s">
        <v>672</v>
      </c>
      <c r="M85" s="8" t="s">
        <v>673</v>
      </c>
      <c r="N85" s="8" t="s">
        <v>674</v>
      </c>
      <c r="O85" s="8" t="s">
        <v>102</v>
      </c>
      <c r="P85" s="8"/>
      <c r="Q85" s="9" t="s">
        <v>670</v>
      </c>
      <c r="R85" s="8" t="s">
        <v>103</v>
      </c>
      <c r="S85" s="8" t="s">
        <v>104</v>
      </c>
      <c r="T85" s="11" t="s">
        <v>77</v>
      </c>
      <c r="U85" s="8" t="s">
        <v>365</v>
      </c>
      <c r="V85" s="8" t="s">
        <v>217</v>
      </c>
      <c r="W85" s="8" t="n">
        <v>2</v>
      </c>
      <c r="X85" s="8" t="s">
        <v>366</v>
      </c>
      <c r="Y85" s="8" t="s">
        <v>367</v>
      </c>
      <c r="Z85" s="8" t="s">
        <v>368</v>
      </c>
      <c r="AA85" s="11"/>
      <c r="AB85" s="8"/>
    </row>
    <row r="86" customFormat="false" ht="23.25" hidden="false" customHeight="true" outlineLevel="0" collapsed="false">
      <c r="A86" s="8" t="s">
        <v>675</v>
      </c>
      <c r="B86" s="8" t="s">
        <v>676</v>
      </c>
      <c r="C86" s="8" t="s">
        <v>358</v>
      </c>
      <c r="D86" s="8" t="s">
        <v>63</v>
      </c>
      <c r="E86" s="8" t="s">
        <v>359</v>
      </c>
      <c r="F86" s="8" t="s">
        <v>360</v>
      </c>
      <c r="G86" s="8" t="s">
        <v>86</v>
      </c>
      <c r="H86" s="8" t="s">
        <v>603</v>
      </c>
      <c r="I86" s="9" t="n">
        <v>1</v>
      </c>
      <c r="J86" s="8" t="s">
        <v>361</v>
      </c>
      <c r="K86" s="8" t="s">
        <v>231</v>
      </c>
      <c r="L86" s="10" t="s">
        <v>677</v>
      </c>
      <c r="M86" s="8" t="s">
        <v>678</v>
      </c>
      <c r="N86" s="8" t="s">
        <v>679</v>
      </c>
      <c r="O86" s="8" t="s">
        <v>102</v>
      </c>
      <c r="P86" s="8"/>
      <c r="Q86" s="9" t="s">
        <v>675</v>
      </c>
      <c r="R86" s="8" t="s">
        <v>103</v>
      </c>
      <c r="S86" s="8" t="s">
        <v>104</v>
      </c>
      <c r="T86" s="11" t="s">
        <v>77</v>
      </c>
      <c r="U86" s="8" t="s">
        <v>365</v>
      </c>
      <c r="V86" s="8" t="s">
        <v>217</v>
      </c>
      <c r="W86" s="8" t="n">
        <v>2</v>
      </c>
      <c r="X86" s="8" t="s">
        <v>366</v>
      </c>
      <c r="Y86" s="8" t="s">
        <v>367</v>
      </c>
      <c r="Z86" s="8" t="s">
        <v>368</v>
      </c>
      <c r="AA86" s="11"/>
      <c r="AB86" s="8"/>
    </row>
    <row r="87" customFormat="false" ht="23.25" hidden="false" customHeight="true" outlineLevel="0" collapsed="false">
      <c r="A87" s="8" t="s">
        <v>680</v>
      </c>
      <c r="B87" s="8" t="s">
        <v>681</v>
      </c>
      <c r="C87" s="8" t="s">
        <v>358</v>
      </c>
      <c r="D87" s="8" t="s">
        <v>63</v>
      </c>
      <c r="E87" s="8" t="s">
        <v>359</v>
      </c>
      <c r="F87" s="8" t="s">
        <v>360</v>
      </c>
      <c r="G87" s="8" t="s">
        <v>86</v>
      </c>
      <c r="H87" s="8" t="s">
        <v>603</v>
      </c>
      <c r="I87" s="9" t="n">
        <v>1</v>
      </c>
      <c r="J87" s="8" t="s">
        <v>361</v>
      </c>
      <c r="K87" s="8" t="s">
        <v>231</v>
      </c>
      <c r="L87" s="10" t="s">
        <v>682</v>
      </c>
      <c r="M87" s="8" t="s">
        <v>683</v>
      </c>
      <c r="N87" s="8" t="s">
        <v>684</v>
      </c>
      <c r="O87" s="8" t="s">
        <v>102</v>
      </c>
      <c r="P87" s="8"/>
      <c r="Q87" s="9" t="s">
        <v>680</v>
      </c>
      <c r="R87" s="8" t="s">
        <v>103</v>
      </c>
      <c r="S87" s="8" t="s">
        <v>104</v>
      </c>
      <c r="T87" s="11" t="s">
        <v>77</v>
      </c>
      <c r="U87" s="8" t="s">
        <v>365</v>
      </c>
      <c r="V87" s="8" t="s">
        <v>217</v>
      </c>
      <c r="W87" s="8" t="n">
        <v>2</v>
      </c>
      <c r="X87" s="8" t="s">
        <v>366</v>
      </c>
      <c r="Y87" s="8" t="s">
        <v>367</v>
      </c>
      <c r="Z87" s="8" t="s">
        <v>368</v>
      </c>
      <c r="AA87" s="11"/>
      <c r="AB87" s="8"/>
    </row>
    <row r="88" customFormat="false" ht="23.25" hidden="false" customHeight="true" outlineLevel="0" collapsed="false">
      <c r="A88" s="8" t="s">
        <v>685</v>
      </c>
      <c r="B88" s="8" t="s">
        <v>686</v>
      </c>
      <c r="C88" s="8" t="s">
        <v>687</v>
      </c>
      <c r="D88" s="8" t="s">
        <v>63</v>
      </c>
      <c r="E88" s="8" t="s">
        <v>359</v>
      </c>
      <c r="F88" s="8" t="s">
        <v>360</v>
      </c>
      <c r="G88" s="8" t="s">
        <v>86</v>
      </c>
      <c r="H88" s="8" t="s">
        <v>603</v>
      </c>
      <c r="I88" s="9" t="n">
        <v>1</v>
      </c>
      <c r="J88" s="8" t="s">
        <v>361</v>
      </c>
      <c r="K88" s="8" t="s">
        <v>231</v>
      </c>
      <c r="L88" s="10" t="s">
        <v>688</v>
      </c>
      <c r="M88" s="8" t="s">
        <v>689</v>
      </c>
      <c r="N88" s="8" t="s">
        <v>690</v>
      </c>
      <c r="O88" s="8" t="s">
        <v>102</v>
      </c>
      <c r="P88" s="8"/>
      <c r="Q88" s="9" t="s">
        <v>685</v>
      </c>
      <c r="R88" s="8" t="s">
        <v>103</v>
      </c>
      <c r="S88" s="8" t="s">
        <v>104</v>
      </c>
      <c r="T88" s="11" t="s">
        <v>77</v>
      </c>
      <c r="U88" s="8" t="s">
        <v>365</v>
      </c>
      <c r="V88" s="8" t="s">
        <v>217</v>
      </c>
      <c r="W88" s="8" t="n">
        <v>2</v>
      </c>
      <c r="X88" s="8" t="s">
        <v>366</v>
      </c>
      <c r="Y88" s="8" t="s">
        <v>367</v>
      </c>
      <c r="Z88" s="8" t="s">
        <v>368</v>
      </c>
      <c r="AA88" s="11"/>
      <c r="AB88" s="8"/>
    </row>
    <row r="89" customFormat="false" ht="23.25" hidden="false" customHeight="true" outlineLevel="0" collapsed="false">
      <c r="A89" s="8" t="s">
        <v>691</v>
      </c>
      <c r="B89" s="8" t="s">
        <v>692</v>
      </c>
      <c r="C89" s="8" t="s">
        <v>693</v>
      </c>
      <c r="D89" s="8" t="s">
        <v>63</v>
      </c>
      <c r="E89" s="8" t="s">
        <v>359</v>
      </c>
      <c r="F89" s="8" t="s">
        <v>360</v>
      </c>
      <c r="G89" s="8" t="s">
        <v>86</v>
      </c>
      <c r="H89" s="8" t="s">
        <v>603</v>
      </c>
      <c r="I89" s="9" t="n">
        <v>1</v>
      </c>
      <c r="J89" s="8" t="s">
        <v>361</v>
      </c>
      <c r="K89" s="8" t="s">
        <v>231</v>
      </c>
      <c r="L89" s="10" t="s">
        <v>694</v>
      </c>
      <c r="M89" s="8" t="s">
        <v>695</v>
      </c>
      <c r="N89" s="8" t="s">
        <v>696</v>
      </c>
      <c r="O89" s="8" t="s">
        <v>102</v>
      </c>
      <c r="P89" s="8"/>
      <c r="Q89" s="9" t="s">
        <v>691</v>
      </c>
      <c r="R89" s="8" t="s">
        <v>103</v>
      </c>
      <c r="S89" s="8" t="s">
        <v>104</v>
      </c>
      <c r="T89" s="11" t="s">
        <v>77</v>
      </c>
      <c r="U89" s="8" t="s">
        <v>365</v>
      </c>
      <c r="V89" s="8" t="s">
        <v>217</v>
      </c>
      <c r="W89" s="8" t="n">
        <v>2</v>
      </c>
      <c r="X89" s="8" t="s">
        <v>366</v>
      </c>
      <c r="Y89" s="8" t="s">
        <v>367</v>
      </c>
      <c r="Z89" s="8" t="s">
        <v>368</v>
      </c>
      <c r="AA89" s="11"/>
      <c r="AB89" s="8"/>
    </row>
    <row r="90" customFormat="false" ht="23.25" hidden="false" customHeight="true" outlineLevel="0" collapsed="false">
      <c r="A90" s="8" t="s">
        <v>697</v>
      </c>
      <c r="B90" s="8" t="s">
        <v>698</v>
      </c>
      <c r="C90" s="8" t="s">
        <v>699</v>
      </c>
      <c r="D90" s="8" t="s">
        <v>63</v>
      </c>
      <c r="E90" s="8" t="s">
        <v>359</v>
      </c>
      <c r="F90" s="8" t="s">
        <v>360</v>
      </c>
      <c r="G90" s="8" t="s">
        <v>86</v>
      </c>
      <c r="H90" s="8" t="s">
        <v>603</v>
      </c>
      <c r="I90" s="9" t="n">
        <v>1</v>
      </c>
      <c r="J90" s="8" t="s">
        <v>361</v>
      </c>
      <c r="K90" s="8" t="s">
        <v>231</v>
      </c>
      <c r="L90" s="10" t="s">
        <v>700</v>
      </c>
      <c r="M90" s="8" t="s">
        <v>701</v>
      </c>
      <c r="N90" s="8" t="s">
        <v>702</v>
      </c>
      <c r="O90" s="8" t="s">
        <v>102</v>
      </c>
      <c r="P90" s="8"/>
      <c r="Q90" s="9" t="s">
        <v>697</v>
      </c>
      <c r="R90" s="8" t="s">
        <v>103</v>
      </c>
      <c r="S90" s="8" t="s">
        <v>104</v>
      </c>
      <c r="T90" s="11" t="s">
        <v>77</v>
      </c>
      <c r="U90" s="8" t="s">
        <v>365</v>
      </c>
      <c r="V90" s="8" t="s">
        <v>217</v>
      </c>
      <c r="W90" s="8" t="n">
        <v>2</v>
      </c>
      <c r="X90" s="8" t="s">
        <v>366</v>
      </c>
      <c r="Y90" s="8" t="s">
        <v>367</v>
      </c>
      <c r="Z90" s="8" t="s">
        <v>368</v>
      </c>
      <c r="AA90" s="11"/>
      <c r="AB90" s="8"/>
    </row>
    <row r="91" customFormat="false" ht="23.25" hidden="false" customHeight="true" outlineLevel="0" collapsed="false">
      <c r="A91" s="8" t="s">
        <v>703</v>
      </c>
      <c r="B91" s="8" t="s">
        <v>704</v>
      </c>
      <c r="C91" s="8" t="s">
        <v>705</v>
      </c>
      <c r="D91" s="8" t="s">
        <v>63</v>
      </c>
      <c r="E91" s="8" t="s">
        <v>359</v>
      </c>
      <c r="F91" s="8" t="s">
        <v>360</v>
      </c>
      <c r="G91" s="8" t="s">
        <v>86</v>
      </c>
      <c r="H91" s="8" t="s">
        <v>603</v>
      </c>
      <c r="I91" s="9" t="n">
        <v>1</v>
      </c>
      <c r="J91" s="8" t="s">
        <v>361</v>
      </c>
      <c r="K91" s="8" t="s">
        <v>231</v>
      </c>
      <c r="L91" s="10" t="s">
        <v>706</v>
      </c>
      <c r="M91" s="8" t="s">
        <v>707</v>
      </c>
      <c r="N91" s="8" t="s">
        <v>708</v>
      </c>
      <c r="O91" s="8" t="s">
        <v>102</v>
      </c>
      <c r="P91" s="8"/>
      <c r="Q91" s="9" t="s">
        <v>703</v>
      </c>
      <c r="R91" s="8" t="s">
        <v>103</v>
      </c>
      <c r="S91" s="8" t="s">
        <v>104</v>
      </c>
      <c r="T91" s="11" t="s">
        <v>77</v>
      </c>
      <c r="U91" s="8" t="s">
        <v>365</v>
      </c>
      <c r="V91" s="8" t="s">
        <v>217</v>
      </c>
      <c r="W91" s="8" t="n">
        <v>2</v>
      </c>
      <c r="X91" s="8" t="s">
        <v>366</v>
      </c>
      <c r="Y91" s="8" t="s">
        <v>367</v>
      </c>
      <c r="Z91" s="8" t="s">
        <v>368</v>
      </c>
      <c r="AA91" s="11"/>
      <c r="AB91" s="8"/>
    </row>
    <row r="92" customFormat="false" ht="23.25" hidden="false" customHeight="true" outlineLevel="0" collapsed="false">
      <c r="A92" s="8" t="s">
        <v>709</v>
      </c>
      <c r="B92" s="8" t="s">
        <v>710</v>
      </c>
      <c r="C92" s="8" t="s">
        <v>125</v>
      </c>
      <c r="D92" s="8" t="s">
        <v>63</v>
      </c>
      <c r="E92" s="8" t="s">
        <v>359</v>
      </c>
      <c r="F92" s="8" t="s">
        <v>360</v>
      </c>
      <c r="G92" s="8" t="s">
        <v>86</v>
      </c>
      <c r="H92" s="8" t="s">
        <v>603</v>
      </c>
      <c r="I92" s="9" t="n">
        <v>1</v>
      </c>
      <c r="J92" s="8" t="s">
        <v>142</v>
      </c>
      <c r="K92" s="8" t="s">
        <v>231</v>
      </c>
      <c r="L92" s="10" t="s">
        <v>711</v>
      </c>
      <c r="M92" s="8" t="s">
        <v>712</v>
      </c>
      <c r="N92" s="8" t="s">
        <v>659</v>
      </c>
      <c r="O92" s="8" t="s">
        <v>129</v>
      </c>
      <c r="P92" s="8" t="s">
        <v>600</v>
      </c>
      <c r="Q92" s="9" t="s">
        <v>600</v>
      </c>
      <c r="R92" s="8" t="s">
        <v>92</v>
      </c>
      <c r="S92" s="8" t="s">
        <v>131</v>
      </c>
      <c r="T92" s="11" t="s">
        <v>77</v>
      </c>
      <c r="U92" s="8" t="s">
        <v>365</v>
      </c>
      <c r="V92" s="8" t="s">
        <v>132</v>
      </c>
      <c r="W92" s="8" t="n">
        <v>1</v>
      </c>
      <c r="X92" s="8" t="s">
        <v>366</v>
      </c>
      <c r="Y92" s="8" t="s">
        <v>367</v>
      </c>
      <c r="Z92" s="8" t="s">
        <v>368</v>
      </c>
      <c r="AA92" s="11"/>
      <c r="AB92" s="8"/>
    </row>
    <row r="93" customFormat="false" ht="23.25" hidden="false" customHeight="true" outlineLevel="0" collapsed="false">
      <c r="A93" s="8" t="s">
        <v>713</v>
      </c>
      <c r="B93" s="8" t="s">
        <v>714</v>
      </c>
      <c r="C93" s="8" t="s">
        <v>715</v>
      </c>
      <c r="D93" s="8" t="s">
        <v>63</v>
      </c>
      <c r="E93" s="8" t="s">
        <v>359</v>
      </c>
      <c r="F93" s="8" t="s">
        <v>360</v>
      </c>
      <c r="G93" s="8" t="s">
        <v>86</v>
      </c>
      <c r="H93" s="8" t="s">
        <v>311</v>
      </c>
      <c r="I93" s="9" t="n">
        <v>2</v>
      </c>
      <c r="J93" s="8" t="s">
        <v>142</v>
      </c>
      <c r="K93" s="8" t="s">
        <v>231</v>
      </c>
      <c r="L93" s="10" t="s">
        <v>716</v>
      </c>
      <c r="M93" s="8" t="s">
        <v>717</v>
      </c>
      <c r="N93" s="8" t="s">
        <v>718</v>
      </c>
      <c r="O93" s="8" t="s">
        <v>129</v>
      </c>
      <c r="P93" s="8"/>
      <c r="Q93" s="9" t="s">
        <v>713</v>
      </c>
      <c r="R93" s="8" t="s">
        <v>75</v>
      </c>
      <c r="S93" s="8" t="s">
        <v>93</v>
      </c>
      <c r="T93" s="11" t="s">
        <v>77</v>
      </c>
      <c r="U93" s="8" t="s">
        <v>365</v>
      </c>
      <c r="V93" s="8" t="s">
        <v>132</v>
      </c>
      <c r="W93" s="8" t="n">
        <v>1</v>
      </c>
      <c r="X93" s="8" t="s">
        <v>719</v>
      </c>
      <c r="Y93" s="8" t="s">
        <v>367</v>
      </c>
      <c r="Z93" s="8" t="s">
        <v>368</v>
      </c>
      <c r="AA93" s="11"/>
      <c r="AB93" s="8"/>
    </row>
    <row r="94" customFormat="false" ht="23.25" hidden="false" customHeight="true" outlineLevel="0" collapsed="false">
      <c r="A94" s="8" t="s">
        <v>720</v>
      </c>
      <c r="B94" s="8" t="s">
        <v>721</v>
      </c>
      <c r="C94" s="8" t="s">
        <v>721</v>
      </c>
      <c r="D94" s="8" t="s">
        <v>63</v>
      </c>
      <c r="E94" s="8" t="s">
        <v>359</v>
      </c>
      <c r="F94" s="8" t="s">
        <v>360</v>
      </c>
      <c r="G94" s="8" t="s">
        <v>86</v>
      </c>
      <c r="H94" s="8" t="s">
        <v>311</v>
      </c>
      <c r="I94" s="9" t="n">
        <v>2</v>
      </c>
      <c r="J94" s="8" t="s">
        <v>236</v>
      </c>
      <c r="K94" s="8" t="s">
        <v>722</v>
      </c>
      <c r="L94" s="10" t="s">
        <v>723</v>
      </c>
      <c r="M94" s="8" t="s">
        <v>724</v>
      </c>
      <c r="N94" s="8" t="s">
        <v>725</v>
      </c>
      <c r="O94" s="8" t="s">
        <v>129</v>
      </c>
      <c r="P94" s="8"/>
      <c r="Q94" s="9" t="s">
        <v>720</v>
      </c>
      <c r="R94" s="8" t="s">
        <v>75</v>
      </c>
      <c r="S94" s="8" t="s">
        <v>215</v>
      </c>
      <c r="T94" s="11" t="s">
        <v>77</v>
      </c>
      <c r="U94" s="8" t="s">
        <v>365</v>
      </c>
      <c r="V94" s="8" t="s">
        <v>217</v>
      </c>
      <c r="W94" s="8" t="n">
        <v>2</v>
      </c>
      <c r="X94" s="8" t="s">
        <v>719</v>
      </c>
      <c r="Y94" s="8" t="s">
        <v>367</v>
      </c>
      <c r="Z94" s="8" t="s">
        <v>368</v>
      </c>
      <c r="AA94" s="11" t="s">
        <v>257</v>
      </c>
      <c r="AB94" s="8" t="s">
        <v>726</v>
      </c>
    </row>
    <row r="95" customFormat="false" ht="23.25" hidden="false" customHeight="true" outlineLevel="0" collapsed="false">
      <c r="A95" s="8" t="s">
        <v>727</v>
      </c>
      <c r="B95" s="8" t="s">
        <v>728</v>
      </c>
      <c r="C95" s="8" t="s">
        <v>729</v>
      </c>
      <c r="D95" s="8" t="s">
        <v>63</v>
      </c>
      <c r="E95" s="8" t="s">
        <v>359</v>
      </c>
      <c r="F95" s="8" t="s">
        <v>360</v>
      </c>
      <c r="G95" s="8" t="s">
        <v>86</v>
      </c>
      <c r="H95" s="8" t="s">
        <v>311</v>
      </c>
      <c r="I95" s="9" t="n">
        <v>3</v>
      </c>
      <c r="J95" s="8" t="s">
        <v>142</v>
      </c>
      <c r="K95" s="8" t="s">
        <v>231</v>
      </c>
      <c r="L95" s="10" t="s">
        <v>730</v>
      </c>
      <c r="M95" s="8" t="s">
        <v>731</v>
      </c>
      <c r="N95" s="8" t="s">
        <v>732</v>
      </c>
      <c r="O95" s="8" t="s">
        <v>73</v>
      </c>
      <c r="P95" s="8"/>
      <c r="Q95" s="9" t="s">
        <v>727</v>
      </c>
      <c r="R95" s="8" t="s">
        <v>75</v>
      </c>
      <c r="S95" s="8" t="s">
        <v>131</v>
      </c>
      <c r="T95" s="11" t="s">
        <v>77</v>
      </c>
      <c r="U95" s="8" t="s">
        <v>365</v>
      </c>
      <c r="V95" s="8" t="s">
        <v>132</v>
      </c>
      <c r="W95" s="8" t="n">
        <v>1</v>
      </c>
      <c r="X95" s="8" t="s">
        <v>719</v>
      </c>
      <c r="Y95" s="8" t="s">
        <v>367</v>
      </c>
      <c r="Z95" s="8" t="s">
        <v>368</v>
      </c>
      <c r="AA95" s="11"/>
      <c r="AB95" s="8"/>
    </row>
    <row r="96" customFormat="false" ht="23.25" hidden="false" customHeight="true" outlineLevel="0" collapsed="false">
      <c r="A96" s="8" t="s">
        <v>733</v>
      </c>
      <c r="B96" s="8" t="s">
        <v>734</v>
      </c>
      <c r="C96" s="8" t="s">
        <v>735</v>
      </c>
      <c r="D96" s="8" t="s">
        <v>63</v>
      </c>
      <c r="E96" s="8" t="s">
        <v>359</v>
      </c>
      <c r="F96" s="8" t="s">
        <v>360</v>
      </c>
      <c r="G96" s="8" t="s">
        <v>86</v>
      </c>
      <c r="H96" s="8" t="s">
        <v>311</v>
      </c>
      <c r="I96" s="9" t="n">
        <v>2</v>
      </c>
      <c r="J96" s="8" t="s">
        <v>142</v>
      </c>
      <c r="K96" s="8" t="s">
        <v>231</v>
      </c>
      <c r="L96" s="10" t="s">
        <v>736</v>
      </c>
      <c r="M96" s="8" t="s">
        <v>737</v>
      </c>
      <c r="N96" s="8" t="s">
        <v>738</v>
      </c>
      <c r="O96" s="8" t="s">
        <v>129</v>
      </c>
      <c r="P96" s="8" t="s">
        <v>739</v>
      </c>
      <c r="Q96" s="9" t="s">
        <v>600</v>
      </c>
      <c r="R96" s="8" t="s">
        <v>75</v>
      </c>
      <c r="S96" s="8" t="s">
        <v>131</v>
      </c>
      <c r="T96" s="11" t="s">
        <v>77</v>
      </c>
      <c r="U96" s="8" t="s">
        <v>365</v>
      </c>
      <c r="V96" s="8" t="s">
        <v>132</v>
      </c>
      <c r="W96" s="8" t="n">
        <v>1</v>
      </c>
      <c r="X96" s="8" t="s">
        <v>366</v>
      </c>
      <c r="Y96" s="8" t="s">
        <v>367</v>
      </c>
      <c r="Z96" s="8" t="s">
        <v>368</v>
      </c>
      <c r="AA96" s="11"/>
      <c r="AB96" s="8"/>
    </row>
    <row r="97" customFormat="false" ht="23.25" hidden="false" customHeight="true" outlineLevel="0" collapsed="false">
      <c r="A97" s="8" t="s">
        <v>740</v>
      </c>
      <c r="B97" s="8" t="s">
        <v>741</v>
      </c>
      <c r="C97" s="8" t="s">
        <v>742</v>
      </c>
      <c r="D97" s="8" t="s">
        <v>114</v>
      </c>
      <c r="E97" s="8" t="s">
        <v>359</v>
      </c>
      <c r="F97" s="8" t="s">
        <v>360</v>
      </c>
      <c r="G97" s="8" t="s">
        <v>86</v>
      </c>
      <c r="H97" s="8" t="s">
        <v>311</v>
      </c>
      <c r="I97" s="9" t="n">
        <v>2</v>
      </c>
      <c r="J97" s="8" t="s">
        <v>361</v>
      </c>
      <c r="K97" s="8" t="s">
        <v>231</v>
      </c>
      <c r="L97" s="10" t="s">
        <v>743</v>
      </c>
      <c r="M97" s="8" t="s">
        <v>744</v>
      </c>
      <c r="N97" s="8" t="s">
        <v>745</v>
      </c>
      <c r="O97" s="8" t="s">
        <v>129</v>
      </c>
      <c r="P97" s="8"/>
      <c r="Q97" s="9" t="s">
        <v>740</v>
      </c>
      <c r="R97" s="8" t="s">
        <v>75</v>
      </c>
      <c r="S97" s="8" t="s">
        <v>215</v>
      </c>
      <c r="T97" s="11" t="s">
        <v>77</v>
      </c>
      <c r="U97" s="8" t="s">
        <v>365</v>
      </c>
      <c r="V97" s="8" t="s">
        <v>217</v>
      </c>
      <c r="W97" s="8" t="n">
        <v>2</v>
      </c>
      <c r="X97" s="8" t="s">
        <v>719</v>
      </c>
      <c r="Y97" s="8" t="s">
        <v>367</v>
      </c>
      <c r="Z97" s="8" t="s">
        <v>368</v>
      </c>
      <c r="AA97" s="11"/>
      <c r="AB97" s="8"/>
    </row>
    <row r="98" customFormat="false" ht="23.25" hidden="false" customHeight="true" outlineLevel="0" collapsed="false">
      <c r="A98" s="8" t="s">
        <v>746</v>
      </c>
      <c r="B98" s="8" t="s">
        <v>747</v>
      </c>
      <c r="C98" s="8" t="s">
        <v>748</v>
      </c>
      <c r="D98" s="8" t="s">
        <v>63</v>
      </c>
      <c r="E98" s="8" t="s">
        <v>359</v>
      </c>
      <c r="F98" s="8" t="s">
        <v>266</v>
      </c>
      <c r="G98" s="8" t="s">
        <v>86</v>
      </c>
      <c r="H98" s="8" t="s">
        <v>603</v>
      </c>
      <c r="I98" s="9" t="n">
        <v>1</v>
      </c>
      <c r="J98" s="8" t="s">
        <v>361</v>
      </c>
      <c r="K98" s="8" t="s">
        <v>231</v>
      </c>
      <c r="L98" s="10" t="s">
        <v>749</v>
      </c>
      <c r="M98" s="8" t="s">
        <v>750</v>
      </c>
      <c r="N98" s="8" t="s">
        <v>751</v>
      </c>
      <c r="O98" s="8" t="s">
        <v>102</v>
      </c>
      <c r="P98" s="8"/>
      <c r="Q98" s="9" t="s">
        <v>746</v>
      </c>
      <c r="R98" s="8" t="s">
        <v>103</v>
      </c>
      <c r="S98" s="8" t="s">
        <v>104</v>
      </c>
      <c r="T98" s="11" t="s">
        <v>77</v>
      </c>
      <c r="U98" s="8" t="s">
        <v>279</v>
      </c>
      <c r="V98" s="8" t="s">
        <v>217</v>
      </c>
      <c r="W98" s="8" t="n">
        <v>2</v>
      </c>
      <c r="X98" s="8" t="s">
        <v>280</v>
      </c>
      <c r="Y98" s="8" t="s">
        <v>219</v>
      </c>
      <c r="Z98" s="8" t="s">
        <v>281</v>
      </c>
      <c r="AA98" s="11"/>
      <c r="AB98" s="8"/>
    </row>
    <row r="99" customFormat="false" ht="23.25" hidden="false" customHeight="true" outlineLevel="0" collapsed="false">
      <c r="A99" s="8" t="s">
        <v>752</v>
      </c>
      <c r="B99" s="8" t="s">
        <v>753</v>
      </c>
      <c r="C99" s="8" t="s">
        <v>754</v>
      </c>
      <c r="D99" s="8" t="s">
        <v>241</v>
      </c>
      <c r="E99" s="8" t="s">
        <v>359</v>
      </c>
      <c r="F99" s="8" t="s">
        <v>266</v>
      </c>
      <c r="G99" s="8" t="s">
        <v>86</v>
      </c>
      <c r="H99" s="8" t="s">
        <v>603</v>
      </c>
      <c r="I99" s="9" t="n">
        <v>1</v>
      </c>
      <c r="J99" s="8" t="s">
        <v>361</v>
      </c>
      <c r="K99" s="8" t="s">
        <v>231</v>
      </c>
      <c r="L99" s="10" t="s">
        <v>755</v>
      </c>
      <c r="M99" s="8" t="s">
        <v>756</v>
      </c>
      <c r="N99" s="8" t="s">
        <v>659</v>
      </c>
      <c r="O99" s="8" t="s">
        <v>102</v>
      </c>
      <c r="P99" s="8"/>
      <c r="Q99" s="9" t="s">
        <v>752</v>
      </c>
      <c r="R99" s="8" t="s">
        <v>103</v>
      </c>
      <c r="S99" s="8" t="s">
        <v>104</v>
      </c>
      <c r="T99" s="11" t="s">
        <v>77</v>
      </c>
      <c r="U99" s="8" t="s">
        <v>279</v>
      </c>
      <c r="V99" s="8" t="s">
        <v>217</v>
      </c>
      <c r="W99" s="8" t="n">
        <v>2</v>
      </c>
      <c r="X99" s="8" t="s">
        <v>280</v>
      </c>
      <c r="Y99" s="8" t="s">
        <v>219</v>
      </c>
      <c r="Z99" s="8" t="s">
        <v>281</v>
      </c>
      <c r="AA99" s="11"/>
      <c r="AB99" s="8"/>
    </row>
    <row r="100" customFormat="false" ht="23.25" hidden="false" customHeight="true" outlineLevel="0" collapsed="false">
      <c r="A100" s="8" t="s">
        <v>757</v>
      </c>
      <c r="B100" s="8" t="s">
        <v>758</v>
      </c>
      <c r="C100" s="8" t="s">
        <v>759</v>
      </c>
      <c r="D100" s="8" t="s">
        <v>63</v>
      </c>
      <c r="E100" s="8" t="s">
        <v>359</v>
      </c>
      <c r="F100" s="8" t="s">
        <v>266</v>
      </c>
      <c r="G100" s="8" t="s">
        <v>86</v>
      </c>
      <c r="H100" s="8" t="s">
        <v>603</v>
      </c>
      <c r="I100" s="9" t="n">
        <v>1</v>
      </c>
      <c r="J100" s="8" t="s">
        <v>361</v>
      </c>
      <c r="K100" s="8" t="s">
        <v>231</v>
      </c>
      <c r="L100" s="10" t="s">
        <v>760</v>
      </c>
      <c r="M100" s="8" t="s">
        <v>761</v>
      </c>
      <c r="N100" s="8" t="s">
        <v>762</v>
      </c>
      <c r="O100" s="8" t="s">
        <v>102</v>
      </c>
      <c r="P100" s="8"/>
      <c r="Q100" s="9" t="s">
        <v>757</v>
      </c>
      <c r="R100" s="8" t="s">
        <v>103</v>
      </c>
      <c r="S100" s="8" t="s">
        <v>104</v>
      </c>
      <c r="T100" s="11" t="s">
        <v>77</v>
      </c>
      <c r="U100" s="8" t="s">
        <v>279</v>
      </c>
      <c r="V100" s="8" t="s">
        <v>217</v>
      </c>
      <c r="W100" s="8" t="n">
        <v>2</v>
      </c>
      <c r="X100" s="8" t="s">
        <v>280</v>
      </c>
      <c r="Y100" s="8" t="s">
        <v>219</v>
      </c>
      <c r="Z100" s="8" t="s">
        <v>281</v>
      </c>
      <c r="AA100" s="11"/>
      <c r="AB100" s="8"/>
    </row>
    <row r="101" customFormat="false" ht="15" hidden="false" customHeight="true" outlineLevel="0" collapsed="false">
      <c r="A101" s="8" t="s">
        <v>763</v>
      </c>
      <c r="B101" s="8" t="s">
        <v>764</v>
      </c>
      <c r="C101" s="8" t="s">
        <v>765</v>
      </c>
      <c r="D101" s="8" t="s">
        <v>63</v>
      </c>
      <c r="E101" s="8" t="s">
        <v>359</v>
      </c>
      <c r="F101" s="8" t="s">
        <v>266</v>
      </c>
      <c r="G101" s="8" t="s">
        <v>86</v>
      </c>
      <c r="H101" s="8" t="s">
        <v>603</v>
      </c>
      <c r="I101" s="9" t="n">
        <v>1</v>
      </c>
      <c r="J101" s="8" t="s">
        <v>142</v>
      </c>
      <c r="K101" s="8" t="s">
        <v>231</v>
      </c>
      <c r="L101" s="10" t="s">
        <v>766</v>
      </c>
      <c r="M101" s="8" t="s">
        <v>767</v>
      </c>
      <c r="N101" s="8" t="s">
        <v>768</v>
      </c>
      <c r="O101" s="8" t="s">
        <v>102</v>
      </c>
      <c r="P101" s="8"/>
      <c r="Q101" s="9" t="s">
        <v>763</v>
      </c>
      <c r="R101" s="8" t="s">
        <v>103</v>
      </c>
      <c r="S101" s="8" t="s">
        <v>104</v>
      </c>
      <c r="T101" s="11" t="s">
        <v>77</v>
      </c>
      <c r="U101" s="8" t="s">
        <v>279</v>
      </c>
      <c r="V101" s="8" t="s">
        <v>79</v>
      </c>
      <c r="W101" s="8" t="n">
        <v>2</v>
      </c>
      <c r="X101" s="8" t="s">
        <v>280</v>
      </c>
      <c r="Y101" s="8" t="s">
        <v>219</v>
      </c>
      <c r="Z101" s="8" t="s">
        <v>281</v>
      </c>
      <c r="AA101" s="11"/>
      <c r="AB101" s="8"/>
    </row>
    <row r="102" customFormat="false" ht="23.25" hidden="false" customHeight="true" outlineLevel="0" collapsed="false">
      <c r="A102" s="8" t="s">
        <v>769</v>
      </c>
      <c r="B102" s="8" t="s">
        <v>770</v>
      </c>
      <c r="C102" s="8" t="s">
        <v>771</v>
      </c>
      <c r="D102" s="8" t="s">
        <v>114</v>
      </c>
      <c r="E102" s="8" t="s">
        <v>359</v>
      </c>
      <c r="F102" s="8" t="s">
        <v>266</v>
      </c>
      <c r="G102" s="8" t="s">
        <v>86</v>
      </c>
      <c r="H102" s="8" t="s">
        <v>603</v>
      </c>
      <c r="I102" s="9" t="n">
        <v>1</v>
      </c>
      <c r="J102" s="8" t="s">
        <v>361</v>
      </c>
      <c r="K102" s="8" t="s">
        <v>231</v>
      </c>
      <c r="L102" s="10" t="s">
        <v>772</v>
      </c>
      <c r="M102" s="8" t="s">
        <v>773</v>
      </c>
      <c r="N102" s="8" t="s">
        <v>774</v>
      </c>
      <c r="O102" s="8" t="s">
        <v>102</v>
      </c>
      <c r="P102" s="8"/>
      <c r="Q102" s="9" t="s">
        <v>769</v>
      </c>
      <c r="R102" s="8" t="s">
        <v>103</v>
      </c>
      <c r="S102" s="8" t="s">
        <v>215</v>
      </c>
      <c r="T102" s="11" t="s">
        <v>77</v>
      </c>
      <c r="U102" s="8" t="s">
        <v>388</v>
      </c>
      <c r="V102" s="8" t="s">
        <v>217</v>
      </c>
      <c r="W102" s="8" t="n">
        <v>2</v>
      </c>
      <c r="X102" s="8" t="s">
        <v>389</v>
      </c>
      <c r="Y102" s="8" t="s">
        <v>390</v>
      </c>
      <c r="Z102" s="8" t="s">
        <v>391</v>
      </c>
      <c r="AA102" s="11"/>
      <c r="AB102" s="8"/>
    </row>
    <row r="103" customFormat="false" ht="23.25" hidden="false" customHeight="true" outlineLevel="0" collapsed="false">
      <c r="A103" s="8" t="s">
        <v>775</v>
      </c>
      <c r="B103" s="8" t="s">
        <v>776</v>
      </c>
      <c r="C103" s="8" t="s">
        <v>777</v>
      </c>
      <c r="D103" s="8" t="s">
        <v>107</v>
      </c>
      <c r="E103" s="8" t="s">
        <v>359</v>
      </c>
      <c r="F103" s="8" t="s">
        <v>360</v>
      </c>
      <c r="G103" s="8" t="s">
        <v>86</v>
      </c>
      <c r="H103" s="8" t="s">
        <v>311</v>
      </c>
      <c r="I103" s="9" t="n">
        <v>3</v>
      </c>
      <c r="J103" s="8" t="s">
        <v>142</v>
      </c>
      <c r="K103" s="8" t="s">
        <v>231</v>
      </c>
      <c r="L103" s="10" t="s">
        <v>778</v>
      </c>
      <c r="M103" s="8" t="s">
        <v>779</v>
      </c>
      <c r="N103" s="8" t="s">
        <v>780</v>
      </c>
      <c r="O103" s="8" t="s">
        <v>466</v>
      </c>
      <c r="P103" s="8"/>
      <c r="Q103" s="9" t="s">
        <v>500</v>
      </c>
      <c r="R103" s="8" t="s">
        <v>92</v>
      </c>
      <c r="S103" s="8" t="s">
        <v>131</v>
      </c>
      <c r="T103" s="11" t="s">
        <v>77</v>
      </c>
      <c r="U103" s="8" t="s">
        <v>365</v>
      </c>
      <c r="V103" s="8" t="s">
        <v>132</v>
      </c>
      <c r="W103" s="8" t="n">
        <v>1</v>
      </c>
      <c r="X103" s="8" t="s">
        <v>366</v>
      </c>
      <c r="Y103" s="8" t="s">
        <v>367</v>
      </c>
      <c r="Z103" s="8" t="s">
        <v>368</v>
      </c>
      <c r="AA103" s="11"/>
      <c r="AB103" s="8"/>
    </row>
    <row r="104" customFormat="false" ht="23.25" hidden="false" customHeight="true" outlineLevel="0" collapsed="false">
      <c r="A104" s="8" t="s">
        <v>781</v>
      </c>
      <c r="B104" s="8" t="s">
        <v>782</v>
      </c>
      <c r="C104" s="8" t="s">
        <v>783</v>
      </c>
      <c r="D104" s="8" t="s">
        <v>107</v>
      </c>
      <c r="E104" s="8" t="s">
        <v>359</v>
      </c>
      <c r="F104" s="8" t="s">
        <v>360</v>
      </c>
      <c r="G104" s="8" t="s">
        <v>86</v>
      </c>
      <c r="H104" s="8" t="s">
        <v>311</v>
      </c>
      <c r="I104" s="9" t="n">
        <v>3</v>
      </c>
      <c r="J104" s="8" t="s">
        <v>142</v>
      </c>
      <c r="K104" s="8" t="s">
        <v>231</v>
      </c>
      <c r="L104" s="10" t="s">
        <v>784</v>
      </c>
      <c r="M104" s="8" t="s">
        <v>785</v>
      </c>
      <c r="N104" s="8" t="s">
        <v>780</v>
      </c>
      <c r="O104" s="8" t="s">
        <v>466</v>
      </c>
      <c r="P104" s="8"/>
      <c r="Q104" s="9" t="s">
        <v>500</v>
      </c>
      <c r="R104" s="8" t="s">
        <v>92</v>
      </c>
      <c r="S104" s="8" t="s">
        <v>131</v>
      </c>
      <c r="T104" s="11" t="s">
        <v>77</v>
      </c>
      <c r="U104" s="8" t="s">
        <v>365</v>
      </c>
      <c r="V104" s="8" t="s">
        <v>132</v>
      </c>
      <c r="W104" s="8" t="n">
        <v>1</v>
      </c>
      <c r="X104" s="8" t="s">
        <v>366</v>
      </c>
      <c r="Y104" s="8" t="s">
        <v>367</v>
      </c>
      <c r="Z104" s="8" t="s">
        <v>368</v>
      </c>
      <c r="AA104" s="11"/>
      <c r="AB104" s="8"/>
    </row>
    <row r="105" customFormat="false" ht="23.25" hidden="false" customHeight="true" outlineLevel="0" collapsed="false">
      <c r="A105" s="8" t="s">
        <v>786</v>
      </c>
      <c r="B105" s="8" t="s">
        <v>787</v>
      </c>
      <c r="C105" s="8" t="s">
        <v>788</v>
      </c>
      <c r="D105" s="8" t="s">
        <v>107</v>
      </c>
      <c r="E105" s="8" t="s">
        <v>359</v>
      </c>
      <c r="F105" s="8" t="s">
        <v>360</v>
      </c>
      <c r="G105" s="8" t="s">
        <v>86</v>
      </c>
      <c r="H105" s="8" t="s">
        <v>311</v>
      </c>
      <c r="I105" s="9" t="n">
        <v>3</v>
      </c>
      <c r="J105" s="8" t="s">
        <v>142</v>
      </c>
      <c r="K105" s="8" t="s">
        <v>231</v>
      </c>
      <c r="L105" s="10" t="s">
        <v>789</v>
      </c>
      <c r="M105" s="8" t="s">
        <v>790</v>
      </c>
      <c r="N105" s="8" t="s">
        <v>780</v>
      </c>
      <c r="O105" s="8" t="s">
        <v>466</v>
      </c>
      <c r="P105" s="8"/>
      <c r="Q105" s="9" t="s">
        <v>500</v>
      </c>
      <c r="R105" s="8" t="s">
        <v>92</v>
      </c>
      <c r="S105" s="8" t="s">
        <v>131</v>
      </c>
      <c r="T105" s="11" t="s">
        <v>77</v>
      </c>
      <c r="U105" s="8" t="s">
        <v>365</v>
      </c>
      <c r="V105" s="8" t="s">
        <v>132</v>
      </c>
      <c r="W105" s="8" t="n">
        <v>1</v>
      </c>
      <c r="X105" s="8" t="s">
        <v>366</v>
      </c>
      <c r="Y105" s="8" t="s">
        <v>367</v>
      </c>
      <c r="Z105" s="8" t="s">
        <v>368</v>
      </c>
      <c r="AA105" s="11"/>
      <c r="AB105" s="8"/>
    </row>
    <row r="106" customFormat="false" ht="23.25" hidden="false" customHeight="true" outlineLevel="0" collapsed="false">
      <c r="A106" s="8" t="s">
        <v>791</v>
      </c>
      <c r="B106" s="8" t="s">
        <v>792</v>
      </c>
      <c r="C106" s="8" t="s">
        <v>793</v>
      </c>
      <c r="D106" s="8" t="s">
        <v>114</v>
      </c>
      <c r="E106" s="8" t="s">
        <v>359</v>
      </c>
      <c r="F106" s="8" t="s">
        <v>360</v>
      </c>
      <c r="G106" s="8" t="s">
        <v>86</v>
      </c>
      <c r="H106" s="8" t="s">
        <v>311</v>
      </c>
      <c r="I106" s="9" t="n">
        <v>3</v>
      </c>
      <c r="J106" s="8" t="s">
        <v>142</v>
      </c>
      <c r="K106" s="8" t="s">
        <v>231</v>
      </c>
      <c r="L106" s="10" t="s">
        <v>794</v>
      </c>
      <c r="M106" s="8" t="s">
        <v>795</v>
      </c>
      <c r="N106" s="8" t="s">
        <v>780</v>
      </c>
      <c r="O106" s="8" t="s">
        <v>466</v>
      </c>
      <c r="P106" s="8"/>
      <c r="Q106" s="9" t="s">
        <v>500</v>
      </c>
      <c r="R106" s="8" t="s">
        <v>92</v>
      </c>
      <c r="S106" s="8" t="s">
        <v>131</v>
      </c>
      <c r="T106" s="11" t="s">
        <v>77</v>
      </c>
      <c r="U106" s="8" t="s">
        <v>365</v>
      </c>
      <c r="V106" s="8" t="s">
        <v>132</v>
      </c>
      <c r="W106" s="8" t="n">
        <v>1</v>
      </c>
      <c r="X106" s="8" t="s">
        <v>366</v>
      </c>
      <c r="Y106" s="8" t="s">
        <v>367</v>
      </c>
      <c r="Z106" s="8" t="s">
        <v>368</v>
      </c>
      <c r="AA106" s="11"/>
      <c r="AB106" s="8"/>
    </row>
    <row r="107" customFormat="false" ht="23.25" hidden="false" customHeight="true" outlineLevel="0" collapsed="false">
      <c r="A107" s="8" t="s">
        <v>796</v>
      </c>
      <c r="B107" s="8" t="s">
        <v>797</v>
      </c>
      <c r="C107" s="8" t="s">
        <v>798</v>
      </c>
      <c r="D107" s="8" t="s">
        <v>114</v>
      </c>
      <c r="E107" s="8" t="s">
        <v>359</v>
      </c>
      <c r="F107" s="8" t="s">
        <v>360</v>
      </c>
      <c r="G107" s="8" t="s">
        <v>86</v>
      </c>
      <c r="H107" s="8" t="s">
        <v>311</v>
      </c>
      <c r="I107" s="9" t="n">
        <v>3</v>
      </c>
      <c r="J107" s="8" t="s">
        <v>142</v>
      </c>
      <c r="K107" s="8" t="s">
        <v>231</v>
      </c>
      <c r="L107" s="10" t="s">
        <v>799</v>
      </c>
      <c r="M107" s="8" t="s">
        <v>800</v>
      </c>
      <c r="N107" s="8" t="s">
        <v>780</v>
      </c>
      <c r="O107" s="8" t="s">
        <v>466</v>
      </c>
      <c r="P107" s="8"/>
      <c r="Q107" s="9" t="s">
        <v>500</v>
      </c>
      <c r="R107" s="8" t="s">
        <v>92</v>
      </c>
      <c r="S107" s="8" t="s">
        <v>131</v>
      </c>
      <c r="T107" s="11" t="s">
        <v>77</v>
      </c>
      <c r="U107" s="8" t="s">
        <v>365</v>
      </c>
      <c r="V107" s="8" t="s">
        <v>132</v>
      </c>
      <c r="W107" s="8" t="n">
        <v>1</v>
      </c>
      <c r="X107" s="8" t="s">
        <v>366</v>
      </c>
      <c r="Y107" s="8" t="s">
        <v>367</v>
      </c>
      <c r="Z107" s="8" t="s">
        <v>368</v>
      </c>
      <c r="AA107" s="11"/>
      <c r="AB107" s="8"/>
    </row>
    <row r="108" customFormat="false" ht="23.25" hidden="false" customHeight="true" outlineLevel="0" collapsed="false">
      <c r="A108" s="8" t="s">
        <v>801</v>
      </c>
      <c r="B108" s="8" t="s">
        <v>802</v>
      </c>
      <c r="C108" s="8" t="s">
        <v>803</v>
      </c>
      <c r="D108" s="8" t="s">
        <v>114</v>
      </c>
      <c r="E108" s="8" t="s">
        <v>359</v>
      </c>
      <c r="F108" s="8" t="s">
        <v>360</v>
      </c>
      <c r="G108" s="8" t="s">
        <v>86</v>
      </c>
      <c r="H108" s="8" t="s">
        <v>311</v>
      </c>
      <c r="I108" s="9" t="n">
        <v>3</v>
      </c>
      <c r="J108" s="8" t="s">
        <v>142</v>
      </c>
      <c r="K108" s="8" t="s">
        <v>231</v>
      </c>
      <c r="L108" s="10" t="s">
        <v>804</v>
      </c>
      <c r="M108" s="8" t="s">
        <v>805</v>
      </c>
      <c r="N108" s="8" t="s">
        <v>780</v>
      </c>
      <c r="O108" s="8" t="s">
        <v>466</v>
      </c>
      <c r="P108" s="8"/>
      <c r="Q108" s="9" t="s">
        <v>500</v>
      </c>
      <c r="R108" s="8" t="s">
        <v>92</v>
      </c>
      <c r="S108" s="8" t="s">
        <v>131</v>
      </c>
      <c r="T108" s="11" t="s">
        <v>77</v>
      </c>
      <c r="U108" s="8" t="s">
        <v>365</v>
      </c>
      <c r="V108" s="8" t="s">
        <v>132</v>
      </c>
      <c r="W108" s="8" t="n">
        <v>1</v>
      </c>
      <c r="X108" s="8" t="s">
        <v>366</v>
      </c>
      <c r="Y108" s="8" t="s">
        <v>367</v>
      </c>
      <c r="Z108" s="8" t="s">
        <v>368</v>
      </c>
      <c r="AA108" s="11"/>
      <c r="AB108" s="8"/>
    </row>
    <row r="109" customFormat="false" ht="23.25" hidden="false" customHeight="true" outlineLevel="0" collapsed="false">
      <c r="A109" s="8" t="s">
        <v>806</v>
      </c>
      <c r="B109" s="8" t="s">
        <v>807</v>
      </c>
      <c r="C109" s="8" t="s">
        <v>808</v>
      </c>
      <c r="D109" s="8" t="s">
        <v>114</v>
      </c>
      <c r="E109" s="8" t="s">
        <v>359</v>
      </c>
      <c r="F109" s="8" t="s">
        <v>360</v>
      </c>
      <c r="G109" s="8" t="s">
        <v>86</v>
      </c>
      <c r="H109" s="8" t="s">
        <v>311</v>
      </c>
      <c r="I109" s="9" t="n">
        <v>3</v>
      </c>
      <c r="J109" s="8" t="s">
        <v>142</v>
      </c>
      <c r="K109" s="8" t="s">
        <v>231</v>
      </c>
      <c r="L109" s="10" t="s">
        <v>809</v>
      </c>
      <c r="M109" s="8" t="s">
        <v>810</v>
      </c>
      <c r="N109" s="8" t="s">
        <v>780</v>
      </c>
      <c r="O109" s="8" t="s">
        <v>466</v>
      </c>
      <c r="P109" s="8"/>
      <c r="Q109" s="9" t="s">
        <v>500</v>
      </c>
      <c r="R109" s="8" t="s">
        <v>92</v>
      </c>
      <c r="S109" s="8" t="s">
        <v>131</v>
      </c>
      <c r="T109" s="11" t="s">
        <v>77</v>
      </c>
      <c r="U109" s="8" t="s">
        <v>365</v>
      </c>
      <c r="V109" s="8" t="s">
        <v>132</v>
      </c>
      <c r="W109" s="8" t="n">
        <v>1</v>
      </c>
      <c r="X109" s="8" t="s">
        <v>366</v>
      </c>
      <c r="Y109" s="8" t="s">
        <v>367</v>
      </c>
      <c r="Z109" s="8" t="s">
        <v>368</v>
      </c>
      <c r="AA109" s="11"/>
      <c r="AB109" s="8"/>
    </row>
    <row r="110" customFormat="false" ht="23.25" hidden="false" customHeight="true" outlineLevel="0" collapsed="false">
      <c r="A110" s="8" t="s">
        <v>811</v>
      </c>
      <c r="B110" s="8" t="s">
        <v>812</v>
      </c>
      <c r="C110" s="8" t="s">
        <v>812</v>
      </c>
      <c r="D110" s="8" t="s">
        <v>141</v>
      </c>
      <c r="E110" s="8" t="s">
        <v>359</v>
      </c>
      <c r="F110" s="8" t="s">
        <v>360</v>
      </c>
      <c r="G110" s="8" t="s">
        <v>86</v>
      </c>
      <c r="H110" s="8" t="s">
        <v>311</v>
      </c>
      <c r="I110" s="9" t="n">
        <v>3</v>
      </c>
      <c r="J110" s="8" t="s">
        <v>142</v>
      </c>
      <c r="K110" s="8" t="s">
        <v>231</v>
      </c>
      <c r="L110" s="10" t="s">
        <v>813</v>
      </c>
      <c r="M110" s="8" t="s">
        <v>814</v>
      </c>
      <c r="N110" s="8" t="s">
        <v>780</v>
      </c>
      <c r="O110" s="8" t="s">
        <v>466</v>
      </c>
      <c r="P110" s="8"/>
      <c r="Q110" s="9" t="s">
        <v>500</v>
      </c>
      <c r="R110" s="8" t="s">
        <v>92</v>
      </c>
      <c r="S110" s="8" t="s">
        <v>131</v>
      </c>
      <c r="T110" s="11" t="s">
        <v>77</v>
      </c>
      <c r="U110" s="8" t="s">
        <v>365</v>
      </c>
      <c r="V110" s="8" t="s">
        <v>132</v>
      </c>
      <c r="W110" s="8" t="n">
        <v>1</v>
      </c>
      <c r="X110" s="8" t="s">
        <v>366</v>
      </c>
      <c r="Y110" s="8" t="s">
        <v>367</v>
      </c>
      <c r="Z110" s="8" t="s">
        <v>368</v>
      </c>
      <c r="AA110" s="11"/>
      <c r="AB110" s="8"/>
    </row>
    <row r="111" customFormat="false" ht="23.25" hidden="false" customHeight="true" outlineLevel="0" collapsed="false">
      <c r="A111" s="8" t="s">
        <v>815</v>
      </c>
      <c r="B111" s="8" t="s">
        <v>816</v>
      </c>
      <c r="C111" s="8" t="s">
        <v>817</v>
      </c>
      <c r="D111" s="8" t="s">
        <v>241</v>
      </c>
      <c r="E111" s="8" t="s">
        <v>359</v>
      </c>
      <c r="F111" s="8" t="s">
        <v>360</v>
      </c>
      <c r="G111" s="8" t="s">
        <v>86</v>
      </c>
      <c r="H111" s="8" t="s">
        <v>311</v>
      </c>
      <c r="I111" s="9" t="n">
        <v>3</v>
      </c>
      <c r="J111" s="8" t="s">
        <v>142</v>
      </c>
      <c r="K111" s="8" t="s">
        <v>231</v>
      </c>
      <c r="L111" s="10" t="s">
        <v>818</v>
      </c>
      <c r="M111" s="8" t="s">
        <v>819</v>
      </c>
      <c r="N111" s="8" t="s">
        <v>780</v>
      </c>
      <c r="O111" s="8" t="s">
        <v>466</v>
      </c>
      <c r="P111" s="8"/>
      <c r="Q111" s="9" t="s">
        <v>500</v>
      </c>
      <c r="R111" s="8" t="s">
        <v>92</v>
      </c>
      <c r="S111" s="8" t="s">
        <v>131</v>
      </c>
      <c r="T111" s="11" t="s">
        <v>77</v>
      </c>
      <c r="U111" s="8" t="s">
        <v>365</v>
      </c>
      <c r="V111" s="8" t="s">
        <v>132</v>
      </c>
      <c r="W111" s="8" t="n">
        <v>1</v>
      </c>
      <c r="X111" s="8" t="s">
        <v>366</v>
      </c>
      <c r="Y111" s="8" t="s">
        <v>367</v>
      </c>
      <c r="Z111" s="8" t="s">
        <v>368</v>
      </c>
      <c r="AA111" s="11"/>
      <c r="AB111" s="8"/>
    </row>
    <row r="112" customFormat="false" ht="23.25" hidden="false" customHeight="true" outlineLevel="0" collapsed="false">
      <c r="A112" s="8" t="s">
        <v>820</v>
      </c>
      <c r="B112" s="8" t="s">
        <v>821</v>
      </c>
      <c r="C112" s="8" t="s">
        <v>822</v>
      </c>
      <c r="D112" s="8" t="s">
        <v>63</v>
      </c>
      <c r="E112" s="8" t="s">
        <v>359</v>
      </c>
      <c r="F112" s="8" t="s">
        <v>360</v>
      </c>
      <c r="G112" s="8" t="s">
        <v>86</v>
      </c>
      <c r="H112" s="8" t="s">
        <v>311</v>
      </c>
      <c r="I112" s="9" t="n">
        <v>3</v>
      </c>
      <c r="J112" s="8" t="s">
        <v>230</v>
      </c>
      <c r="K112" s="8" t="s">
        <v>231</v>
      </c>
      <c r="L112" s="10" t="s">
        <v>823</v>
      </c>
      <c r="M112" s="8" t="s">
        <v>824</v>
      </c>
      <c r="N112" s="8" t="s">
        <v>780</v>
      </c>
      <c r="O112" s="8" t="s">
        <v>466</v>
      </c>
      <c r="P112" s="8"/>
      <c r="Q112" s="9" t="s">
        <v>500</v>
      </c>
      <c r="R112" s="8" t="s">
        <v>92</v>
      </c>
      <c r="S112" s="8" t="s">
        <v>131</v>
      </c>
      <c r="T112" s="11" t="s">
        <v>77</v>
      </c>
      <c r="U112" s="8" t="s">
        <v>365</v>
      </c>
      <c r="V112" s="8" t="s">
        <v>132</v>
      </c>
      <c r="W112" s="8" t="n">
        <v>1</v>
      </c>
      <c r="X112" s="8" t="s">
        <v>366</v>
      </c>
      <c r="Y112" s="8" t="s">
        <v>367</v>
      </c>
      <c r="Z112" s="8" t="s">
        <v>368</v>
      </c>
      <c r="AA112" s="11"/>
      <c r="AB112" s="8"/>
    </row>
    <row r="113" customFormat="false" ht="23.25" hidden="false" customHeight="true" outlineLevel="0" collapsed="false">
      <c r="A113" s="8" t="s">
        <v>825</v>
      </c>
      <c r="B113" s="8" t="s">
        <v>826</v>
      </c>
      <c r="C113" s="8" t="s">
        <v>827</v>
      </c>
      <c r="D113" s="8" t="s">
        <v>63</v>
      </c>
      <c r="E113" s="8" t="s">
        <v>359</v>
      </c>
      <c r="F113" s="8" t="s">
        <v>360</v>
      </c>
      <c r="G113" s="8" t="s">
        <v>86</v>
      </c>
      <c r="H113" s="8" t="s">
        <v>311</v>
      </c>
      <c r="I113" s="9" t="n">
        <v>3</v>
      </c>
      <c r="J113" s="8" t="s">
        <v>224</v>
      </c>
      <c r="K113" s="8" t="s">
        <v>828</v>
      </c>
      <c r="L113" s="10" t="s">
        <v>829</v>
      </c>
      <c r="M113" s="8" t="s">
        <v>830</v>
      </c>
      <c r="N113" s="8" t="s">
        <v>831</v>
      </c>
      <c r="O113" s="8" t="s">
        <v>73</v>
      </c>
      <c r="P113" s="8" t="s">
        <v>832</v>
      </c>
      <c r="Q113" s="9" t="s">
        <v>825</v>
      </c>
      <c r="R113" s="8" t="s">
        <v>75</v>
      </c>
      <c r="S113" s="8" t="s">
        <v>215</v>
      </c>
      <c r="T113" s="11" t="s">
        <v>77</v>
      </c>
      <c r="U113" s="8" t="s">
        <v>365</v>
      </c>
      <c r="V113" s="8" t="s">
        <v>132</v>
      </c>
      <c r="W113" s="8" t="n">
        <v>1</v>
      </c>
      <c r="X113" s="8" t="s">
        <v>366</v>
      </c>
      <c r="Y113" s="8" t="s">
        <v>367</v>
      </c>
      <c r="Z113" s="8" t="s">
        <v>368</v>
      </c>
      <c r="AA113" s="11"/>
      <c r="AB113" s="8"/>
    </row>
    <row r="114" customFormat="false" ht="23.25" hidden="false" customHeight="true" outlineLevel="0" collapsed="false">
      <c r="A114" s="8" t="s">
        <v>833</v>
      </c>
      <c r="B114" s="8" t="s">
        <v>834</v>
      </c>
      <c r="C114" s="8" t="s">
        <v>834</v>
      </c>
      <c r="D114" s="8" t="s">
        <v>63</v>
      </c>
      <c r="E114" s="8" t="s">
        <v>359</v>
      </c>
      <c r="F114" s="8" t="s">
        <v>360</v>
      </c>
      <c r="G114" s="8" t="s">
        <v>86</v>
      </c>
      <c r="H114" s="8" t="s">
        <v>311</v>
      </c>
      <c r="I114" s="9" t="n">
        <v>3</v>
      </c>
      <c r="J114" s="8" t="s">
        <v>236</v>
      </c>
      <c r="K114" s="8" t="s">
        <v>449</v>
      </c>
      <c r="L114" s="10" t="s">
        <v>835</v>
      </c>
      <c r="M114" s="8" t="s">
        <v>836</v>
      </c>
      <c r="N114" s="8" t="s">
        <v>452</v>
      </c>
      <c r="O114" s="8" t="s">
        <v>73</v>
      </c>
      <c r="P114" s="8" t="s">
        <v>832</v>
      </c>
      <c r="Q114" s="9" t="s">
        <v>833</v>
      </c>
      <c r="R114" s="8" t="s">
        <v>75</v>
      </c>
      <c r="S114" s="8" t="s">
        <v>215</v>
      </c>
      <c r="T114" s="11" t="s">
        <v>77</v>
      </c>
      <c r="U114" s="8" t="s">
        <v>365</v>
      </c>
      <c r="V114" s="8" t="s">
        <v>132</v>
      </c>
      <c r="W114" s="8" t="n">
        <v>1</v>
      </c>
      <c r="X114" s="8" t="s">
        <v>366</v>
      </c>
      <c r="Y114" s="8" t="s">
        <v>367</v>
      </c>
      <c r="Z114" s="8" t="s">
        <v>368</v>
      </c>
      <c r="AA114" s="11"/>
      <c r="AB114" s="8"/>
    </row>
    <row r="115" customFormat="false" ht="23.25" hidden="false" customHeight="true" outlineLevel="0" collapsed="false">
      <c r="A115" s="8" t="s">
        <v>837</v>
      </c>
      <c r="B115" s="8" t="s">
        <v>838</v>
      </c>
      <c r="C115" s="8" t="s">
        <v>839</v>
      </c>
      <c r="D115" s="8" t="s">
        <v>63</v>
      </c>
      <c r="E115" s="8" t="s">
        <v>546</v>
      </c>
      <c r="F115" s="8" t="s">
        <v>547</v>
      </c>
      <c r="G115" s="8" t="s">
        <v>66</v>
      </c>
      <c r="H115" s="8" t="s">
        <v>603</v>
      </c>
      <c r="I115" s="9" t="n">
        <v>1</v>
      </c>
      <c r="J115" s="8" t="s">
        <v>291</v>
      </c>
      <c r="K115" s="8" t="s">
        <v>98</v>
      </c>
      <c r="L115" s="10" t="s">
        <v>840</v>
      </c>
      <c r="M115" s="8" t="s">
        <v>841</v>
      </c>
      <c r="N115" s="8" t="s">
        <v>842</v>
      </c>
      <c r="O115" s="8" t="s">
        <v>102</v>
      </c>
      <c r="P115" s="8"/>
      <c r="Q115" s="9" t="s">
        <v>837</v>
      </c>
      <c r="R115" s="8" t="s">
        <v>103</v>
      </c>
      <c r="S115" s="8" t="s">
        <v>76</v>
      </c>
      <c r="T115" s="11" t="s">
        <v>77</v>
      </c>
      <c r="U115" s="8" t="s">
        <v>551</v>
      </c>
      <c r="V115" s="8" t="s">
        <v>217</v>
      </c>
      <c r="W115" s="8" t="n">
        <v>2</v>
      </c>
      <c r="X115" s="8" t="s">
        <v>552</v>
      </c>
      <c r="Y115" s="8" t="s">
        <v>390</v>
      </c>
      <c r="Z115" s="8" t="s">
        <v>248</v>
      </c>
      <c r="AA115" s="11" t="s">
        <v>221</v>
      </c>
      <c r="AB115" s="8"/>
    </row>
    <row r="116" customFormat="false" ht="23.25" hidden="false" customHeight="true" outlineLevel="0" collapsed="false">
      <c r="A116" s="8" t="s">
        <v>843</v>
      </c>
      <c r="B116" s="8" t="s">
        <v>844</v>
      </c>
      <c r="C116" s="8" t="s">
        <v>845</v>
      </c>
      <c r="D116" s="8" t="s">
        <v>63</v>
      </c>
      <c r="E116" s="8" t="s">
        <v>546</v>
      </c>
      <c r="F116" s="8" t="s">
        <v>547</v>
      </c>
      <c r="G116" s="8" t="s">
        <v>86</v>
      </c>
      <c r="H116" s="8" t="s">
        <v>603</v>
      </c>
      <c r="I116" s="9" t="n">
        <v>1</v>
      </c>
      <c r="J116" s="8" t="s">
        <v>846</v>
      </c>
      <c r="K116" s="8" t="s">
        <v>471</v>
      </c>
      <c r="L116" s="10" t="s">
        <v>847</v>
      </c>
      <c r="M116" s="8" t="s">
        <v>848</v>
      </c>
      <c r="N116" s="8" t="s">
        <v>849</v>
      </c>
      <c r="O116" s="8" t="s">
        <v>102</v>
      </c>
      <c r="P116" s="8"/>
      <c r="Q116" s="9" t="s">
        <v>843</v>
      </c>
      <c r="R116" s="8" t="s">
        <v>103</v>
      </c>
      <c r="S116" s="8" t="s">
        <v>104</v>
      </c>
      <c r="T116" s="11" t="s">
        <v>77</v>
      </c>
      <c r="U116" s="8" t="s">
        <v>551</v>
      </c>
      <c r="V116" s="8" t="s">
        <v>217</v>
      </c>
      <c r="W116" s="8" t="n">
        <v>2</v>
      </c>
      <c r="X116" s="8" t="s">
        <v>552</v>
      </c>
      <c r="Y116" s="8" t="s">
        <v>390</v>
      </c>
      <c r="Z116" s="8" t="s">
        <v>248</v>
      </c>
      <c r="AA116" s="11"/>
      <c r="AB116" s="8"/>
    </row>
    <row r="117" customFormat="false" ht="23.25" hidden="false" customHeight="true" outlineLevel="0" collapsed="false">
      <c r="A117" s="8" t="s">
        <v>850</v>
      </c>
      <c r="B117" s="8" t="s">
        <v>851</v>
      </c>
      <c r="C117" s="8" t="s">
        <v>852</v>
      </c>
      <c r="D117" s="8" t="s">
        <v>63</v>
      </c>
      <c r="E117" s="8" t="s">
        <v>546</v>
      </c>
      <c r="F117" s="8" t="s">
        <v>547</v>
      </c>
      <c r="G117" s="8" t="s">
        <v>66</v>
      </c>
      <c r="H117" s="8" t="s">
        <v>603</v>
      </c>
      <c r="I117" s="9" t="n">
        <v>1</v>
      </c>
      <c r="J117" s="8" t="s">
        <v>68</v>
      </c>
      <c r="K117" s="8" t="s">
        <v>231</v>
      </c>
      <c r="L117" s="10" t="s">
        <v>853</v>
      </c>
      <c r="M117" s="8" t="s">
        <v>854</v>
      </c>
      <c r="N117" s="8" t="s">
        <v>855</v>
      </c>
      <c r="O117" s="8" t="s">
        <v>102</v>
      </c>
      <c r="P117" s="8"/>
      <c r="Q117" s="9" t="s">
        <v>850</v>
      </c>
      <c r="R117" s="8" t="s">
        <v>75</v>
      </c>
      <c r="S117" s="8" t="s">
        <v>76</v>
      </c>
      <c r="T117" s="11" t="s">
        <v>77</v>
      </c>
      <c r="U117" s="8" t="s">
        <v>551</v>
      </c>
      <c r="V117" s="8" t="s">
        <v>79</v>
      </c>
      <c r="W117" s="8" t="n">
        <v>2</v>
      </c>
      <c r="X117" s="8" t="s">
        <v>552</v>
      </c>
      <c r="Y117" s="8" t="s">
        <v>390</v>
      </c>
      <c r="Z117" s="8" t="s">
        <v>248</v>
      </c>
      <c r="AA117" s="11"/>
      <c r="AB117" s="8"/>
    </row>
    <row r="118" customFormat="false" ht="23.25" hidden="false" customHeight="true" outlineLevel="0" collapsed="false">
      <c r="A118" s="8" t="s">
        <v>856</v>
      </c>
      <c r="B118" s="8" t="s">
        <v>857</v>
      </c>
      <c r="C118" s="8" t="s">
        <v>858</v>
      </c>
      <c r="D118" s="8" t="s">
        <v>63</v>
      </c>
      <c r="E118" s="8" t="s">
        <v>546</v>
      </c>
      <c r="F118" s="8" t="s">
        <v>547</v>
      </c>
      <c r="G118" s="8" t="s">
        <v>66</v>
      </c>
      <c r="H118" s="8" t="s">
        <v>603</v>
      </c>
      <c r="I118" s="9" t="n">
        <v>1</v>
      </c>
      <c r="J118" s="8" t="s">
        <v>230</v>
      </c>
      <c r="K118" s="8" t="s">
        <v>231</v>
      </c>
      <c r="L118" s="10" t="s">
        <v>859</v>
      </c>
      <c r="M118" s="8" t="s">
        <v>860</v>
      </c>
      <c r="N118" s="8" t="s">
        <v>861</v>
      </c>
      <c r="O118" s="8" t="s">
        <v>129</v>
      </c>
      <c r="P118" s="8" t="s">
        <v>862</v>
      </c>
      <c r="Q118" s="9" t="s">
        <v>543</v>
      </c>
      <c r="R118" s="8" t="s">
        <v>92</v>
      </c>
      <c r="S118" s="8" t="s">
        <v>93</v>
      </c>
      <c r="T118" s="11" t="s">
        <v>77</v>
      </c>
      <c r="U118" s="8" t="s">
        <v>551</v>
      </c>
      <c r="V118" s="8" t="s">
        <v>132</v>
      </c>
      <c r="W118" s="8" t="n">
        <v>1</v>
      </c>
      <c r="X118" s="8" t="s">
        <v>552</v>
      </c>
      <c r="Y118" s="8" t="s">
        <v>390</v>
      </c>
      <c r="Z118" s="8" t="s">
        <v>248</v>
      </c>
      <c r="AA118" s="11"/>
      <c r="AB118" s="8"/>
    </row>
    <row r="119" customFormat="false" ht="23.25" hidden="false" customHeight="true" outlineLevel="0" collapsed="false">
      <c r="A119" s="8" t="s">
        <v>863</v>
      </c>
      <c r="B119" s="8" t="s">
        <v>864</v>
      </c>
      <c r="C119" s="8" t="s">
        <v>865</v>
      </c>
      <c r="D119" s="8" t="s">
        <v>63</v>
      </c>
      <c r="E119" s="8" t="s">
        <v>546</v>
      </c>
      <c r="F119" s="8" t="s">
        <v>547</v>
      </c>
      <c r="G119" s="8" t="s">
        <v>86</v>
      </c>
      <c r="H119" s="8" t="s">
        <v>603</v>
      </c>
      <c r="I119" s="9" t="n">
        <v>1</v>
      </c>
      <c r="J119" s="8" t="s">
        <v>142</v>
      </c>
      <c r="K119" s="8" t="s">
        <v>231</v>
      </c>
      <c r="L119" s="10" t="s">
        <v>866</v>
      </c>
      <c r="M119" s="8" t="s">
        <v>867</v>
      </c>
      <c r="N119" s="8" t="s">
        <v>868</v>
      </c>
      <c r="O119" s="8" t="s">
        <v>129</v>
      </c>
      <c r="P119" s="8" t="s">
        <v>543</v>
      </c>
      <c r="Q119" s="9" t="s">
        <v>863</v>
      </c>
      <c r="R119" s="8" t="s">
        <v>75</v>
      </c>
      <c r="S119" s="8" t="s">
        <v>131</v>
      </c>
      <c r="T119" s="11" t="s">
        <v>77</v>
      </c>
      <c r="U119" s="8" t="s">
        <v>551</v>
      </c>
      <c r="V119" s="8" t="s">
        <v>132</v>
      </c>
      <c r="W119" s="8" t="n">
        <v>1</v>
      </c>
      <c r="X119" s="8" t="s">
        <v>552</v>
      </c>
      <c r="Y119" s="8" t="s">
        <v>390</v>
      </c>
      <c r="Z119" s="8" t="s">
        <v>248</v>
      </c>
      <c r="AA119" s="11"/>
      <c r="AB119" s="8"/>
    </row>
    <row r="120" customFormat="false" ht="23.25" hidden="false" customHeight="true" outlineLevel="0" collapsed="false">
      <c r="A120" s="8" t="s">
        <v>869</v>
      </c>
      <c r="B120" s="8" t="s">
        <v>870</v>
      </c>
      <c r="C120" s="8" t="s">
        <v>871</v>
      </c>
      <c r="D120" s="8" t="s">
        <v>63</v>
      </c>
      <c r="E120" s="8" t="s">
        <v>546</v>
      </c>
      <c r="F120" s="8" t="s">
        <v>547</v>
      </c>
      <c r="G120" s="8" t="s">
        <v>86</v>
      </c>
      <c r="H120" s="8" t="s">
        <v>603</v>
      </c>
      <c r="I120" s="9" t="n">
        <v>1</v>
      </c>
      <c r="J120" s="8" t="s">
        <v>236</v>
      </c>
      <c r="K120" s="8" t="s">
        <v>98</v>
      </c>
      <c r="L120" s="10" t="s">
        <v>872</v>
      </c>
      <c r="M120" s="8" t="s">
        <v>873</v>
      </c>
      <c r="N120" s="8" t="s">
        <v>874</v>
      </c>
      <c r="O120" s="8" t="s">
        <v>102</v>
      </c>
      <c r="P120" s="8"/>
      <c r="Q120" s="9" t="s">
        <v>869</v>
      </c>
      <c r="R120" s="8" t="s">
        <v>103</v>
      </c>
      <c r="S120" s="8" t="s">
        <v>104</v>
      </c>
      <c r="T120" s="11" t="s">
        <v>77</v>
      </c>
      <c r="U120" s="8" t="s">
        <v>551</v>
      </c>
      <c r="V120" s="8" t="s">
        <v>217</v>
      </c>
      <c r="W120" s="8" t="n">
        <v>2</v>
      </c>
      <c r="X120" s="8" t="s">
        <v>552</v>
      </c>
      <c r="Y120" s="8" t="s">
        <v>390</v>
      </c>
      <c r="Z120" s="8" t="s">
        <v>248</v>
      </c>
      <c r="AA120" s="11"/>
      <c r="AB120" s="8"/>
    </row>
    <row r="121" customFormat="false" ht="23.25" hidden="false" customHeight="true" outlineLevel="0" collapsed="false">
      <c r="A121" s="8" t="s">
        <v>875</v>
      </c>
      <c r="B121" s="8" t="s">
        <v>876</v>
      </c>
      <c r="C121" s="8" t="s">
        <v>693</v>
      </c>
      <c r="D121" s="8" t="s">
        <v>63</v>
      </c>
      <c r="E121" s="8" t="s">
        <v>546</v>
      </c>
      <c r="F121" s="8" t="s">
        <v>547</v>
      </c>
      <c r="G121" s="8" t="s">
        <v>66</v>
      </c>
      <c r="H121" s="8" t="s">
        <v>603</v>
      </c>
      <c r="I121" s="9" t="n">
        <v>1</v>
      </c>
      <c r="J121" s="8" t="s">
        <v>236</v>
      </c>
      <c r="K121" s="8" t="s">
        <v>604</v>
      </c>
      <c r="L121" s="10" t="s">
        <v>694</v>
      </c>
      <c r="M121" s="8" t="s">
        <v>877</v>
      </c>
      <c r="N121" s="8" t="s">
        <v>878</v>
      </c>
      <c r="O121" s="8" t="s">
        <v>102</v>
      </c>
      <c r="P121" s="8"/>
      <c r="Q121" s="9" t="s">
        <v>875</v>
      </c>
      <c r="R121" s="8" t="s">
        <v>103</v>
      </c>
      <c r="S121" s="8" t="s">
        <v>76</v>
      </c>
      <c r="T121" s="11" t="s">
        <v>77</v>
      </c>
      <c r="U121" s="8" t="s">
        <v>551</v>
      </c>
      <c r="V121" s="8" t="s">
        <v>217</v>
      </c>
      <c r="W121" s="8" t="n">
        <v>2</v>
      </c>
      <c r="X121" s="8" t="s">
        <v>552</v>
      </c>
      <c r="Y121" s="8" t="s">
        <v>390</v>
      </c>
      <c r="Z121" s="8" t="s">
        <v>248</v>
      </c>
      <c r="AA121" s="11"/>
      <c r="AB121" s="8"/>
    </row>
    <row r="122" customFormat="false" ht="23.25" hidden="false" customHeight="true" outlineLevel="0" collapsed="false">
      <c r="A122" s="8" t="s">
        <v>879</v>
      </c>
      <c r="B122" s="8" t="s">
        <v>880</v>
      </c>
      <c r="C122" s="8" t="s">
        <v>881</v>
      </c>
      <c r="D122" s="8" t="s">
        <v>63</v>
      </c>
      <c r="E122" s="8" t="s">
        <v>546</v>
      </c>
      <c r="F122" s="8" t="s">
        <v>547</v>
      </c>
      <c r="G122" s="8" t="s">
        <v>86</v>
      </c>
      <c r="H122" s="8" t="s">
        <v>603</v>
      </c>
      <c r="I122" s="9" t="n">
        <v>1</v>
      </c>
      <c r="J122" s="8" t="s">
        <v>291</v>
      </c>
      <c r="K122" s="8" t="s">
        <v>98</v>
      </c>
      <c r="L122" s="10" t="s">
        <v>882</v>
      </c>
      <c r="M122" s="8" t="s">
        <v>883</v>
      </c>
      <c r="N122" s="8" t="s">
        <v>884</v>
      </c>
      <c r="O122" s="8" t="s">
        <v>102</v>
      </c>
      <c r="P122" s="8"/>
      <c r="Q122" s="9" t="s">
        <v>879</v>
      </c>
      <c r="R122" s="8" t="s">
        <v>103</v>
      </c>
      <c r="S122" s="8" t="s">
        <v>104</v>
      </c>
      <c r="T122" s="11" t="s">
        <v>77</v>
      </c>
      <c r="U122" s="8" t="s">
        <v>551</v>
      </c>
      <c r="V122" s="8" t="s">
        <v>217</v>
      </c>
      <c r="W122" s="8" t="n">
        <v>2</v>
      </c>
      <c r="X122" s="8" t="s">
        <v>552</v>
      </c>
      <c r="Y122" s="8" t="s">
        <v>390</v>
      </c>
      <c r="Z122" s="8" t="s">
        <v>248</v>
      </c>
      <c r="AA122" s="11"/>
      <c r="AB122" s="8"/>
    </row>
    <row r="123" customFormat="false" ht="23.25" hidden="false" customHeight="true" outlineLevel="0" collapsed="false">
      <c r="A123" s="8" t="s">
        <v>885</v>
      </c>
      <c r="B123" s="8" t="s">
        <v>886</v>
      </c>
      <c r="C123" s="8" t="s">
        <v>887</v>
      </c>
      <c r="D123" s="8" t="s">
        <v>63</v>
      </c>
      <c r="E123" s="8" t="s">
        <v>546</v>
      </c>
      <c r="F123" s="8" t="s">
        <v>547</v>
      </c>
      <c r="G123" s="8" t="s">
        <v>66</v>
      </c>
      <c r="H123" s="8" t="s">
        <v>603</v>
      </c>
      <c r="I123" s="9" t="n">
        <v>1</v>
      </c>
      <c r="J123" s="8" t="s">
        <v>142</v>
      </c>
      <c r="K123" s="8" t="s">
        <v>231</v>
      </c>
      <c r="L123" s="10" t="s">
        <v>888</v>
      </c>
      <c r="M123" s="8" t="s">
        <v>889</v>
      </c>
      <c r="N123" s="8" t="s">
        <v>890</v>
      </c>
      <c r="O123" s="8" t="s">
        <v>102</v>
      </c>
      <c r="P123" s="8"/>
      <c r="Q123" s="9" t="s">
        <v>885</v>
      </c>
      <c r="R123" s="8" t="s">
        <v>103</v>
      </c>
      <c r="S123" s="8" t="s">
        <v>104</v>
      </c>
      <c r="T123" s="11" t="s">
        <v>77</v>
      </c>
      <c r="U123" s="8" t="s">
        <v>551</v>
      </c>
      <c r="V123" s="8" t="s">
        <v>79</v>
      </c>
      <c r="W123" s="8" t="n">
        <v>2</v>
      </c>
      <c r="X123" s="8" t="s">
        <v>552</v>
      </c>
      <c r="Y123" s="8" t="s">
        <v>390</v>
      </c>
      <c r="Z123" s="8" t="s">
        <v>248</v>
      </c>
      <c r="AA123" s="11"/>
      <c r="AB123" s="8"/>
    </row>
    <row r="124" customFormat="false" ht="23.25" hidden="false" customHeight="true" outlineLevel="0" collapsed="false">
      <c r="A124" s="8" t="s">
        <v>891</v>
      </c>
      <c r="B124" s="8" t="s">
        <v>892</v>
      </c>
      <c r="C124" s="8" t="s">
        <v>416</v>
      </c>
      <c r="D124" s="8" t="s">
        <v>63</v>
      </c>
      <c r="E124" s="8" t="s">
        <v>546</v>
      </c>
      <c r="F124" s="8" t="s">
        <v>547</v>
      </c>
      <c r="G124" s="8" t="s">
        <v>66</v>
      </c>
      <c r="H124" s="8" t="s">
        <v>893</v>
      </c>
      <c r="I124" s="9" t="n">
        <v>2</v>
      </c>
      <c r="J124" s="8" t="s">
        <v>291</v>
      </c>
      <c r="K124" s="8" t="s">
        <v>98</v>
      </c>
      <c r="L124" s="10" t="s">
        <v>894</v>
      </c>
      <c r="M124" s="8" t="s">
        <v>895</v>
      </c>
      <c r="N124" s="8" t="s">
        <v>896</v>
      </c>
      <c r="O124" s="8" t="s">
        <v>129</v>
      </c>
      <c r="P124" s="8"/>
      <c r="Q124" s="9" t="s">
        <v>891</v>
      </c>
      <c r="R124" s="8" t="s">
        <v>75</v>
      </c>
      <c r="S124" s="8" t="s">
        <v>93</v>
      </c>
      <c r="T124" s="11" t="s">
        <v>77</v>
      </c>
      <c r="U124" s="8" t="s">
        <v>551</v>
      </c>
      <c r="V124" s="8" t="s">
        <v>217</v>
      </c>
      <c r="W124" s="8" t="n">
        <v>2</v>
      </c>
      <c r="X124" s="8" t="s">
        <v>552</v>
      </c>
      <c r="Y124" s="8" t="s">
        <v>390</v>
      </c>
      <c r="Z124" s="8" t="s">
        <v>248</v>
      </c>
      <c r="AA124" s="11"/>
      <c r="AB124" s="8"/>
    </row>
    <row r="125" customFormat="false" ht="23.25" hidden="false" customHeight="true" outlineLevel="0" collapsed="false">
      <c r="A125" s="8" t="s">
        <v>897</v>
      </c>
      <c r="B125" s="8" t="s">
        <v>898</v>
      </c>
      <c r="C125" s="8" t="s">
        <v>545</v>
      </c>
      <c r="D125" s="8" t="s">
        <v>63</v>
      </c>
      <c r="E125" s="8" t="s">
        <v>546</v>
      </c>
      <c r="F125" s="8" t="s">
        <v>547</v>
      </c>
      <c r="G125" s="8" t="s">
        <v>66</v>
      </c>
      <c r="H125" s="8" t="s">
        <v>603</v>
      </c>
      <c r="I125" s="9" t="n">
        <v>1</v>
      </c>
      <c r="J125" s="8" t="s">
        <v>899</v>
      </c>
      <c r="K125" s="8" t="s">
        <v>231</v>
      </c>
      <c r="L125" s="10" t="s">
        <v>900</v>
      </c>
      <c r="M125" s="8" t="s">
        <v>901</v>
      </c>
      <c r="N125" s="8" t="s">
        <v>902</v>
      </c>
      <c r="O125" s="8" t="s">
        <v>102</v>
      </c>
      <c r="P125" s="8"/>
      <c r="Q125" s="9" t="s">
        <v>897</v>
      </c>
      <c r="R125" s="8" t="s">
        <v>103</v>
      </c>
      <c r="S125" s="8" t="s">
        <v>76</v>
      </c>
      <c r="T125" s="11" t="s">
        <v>77</v>
      </c>
      <c r="U125" s="8" t="s">
        <v>551</v>
      </c>
      <c r="V125" s="8" t="s">
        <v>217</v>
      </c>
      <c r="W125" s="8" t="n">
        <v>2</v>
      </c>
      <c r="X125" s="8" t="s">
        <v>552</v>
      </c>
      <c r="Y125" s="8" t="s">
        <v>390</v>
      </c>
      <c r="Z125" s="8" t="s">
        <v>248</v>
      </c>
      <c r="AA125" s="11"/>
      <c r="AB125" s="8"/>
    </row>
    <row r="126" customFormat="false" ht="23.25" hidden="false" customHeight="true" outlineLevel="0" collapsed="false">
      <c r="A126" s="8" t="s">
        <v>903</v>
      </c>
      <c r="B126" s="8" t="s">
        <v>904</v>
      </c>
      <c r="C126" s="8" t="s">
        <v>905</v>
      </c>
      <c r="D126" s="8" t="s">
        <v>63</v>
      </c>
      <c r="E126" s="8" t="s">
        <v>546</v>
      </c>
      <c r="F126" s="8" t="s">
        <v>547</v>
      </c>
      <c r="G126" s="8" t="s">
        <v>66</v>
      </c>
      <c r="H126" s="8" t="s">
        <v>603</v>
      </c>
      <c r="I126" s="9" t="n">
        <v>1</v>
      </c>
      <c r="J126" s="8" t="s">
        <v>906</v>
      </c>
      <c r="K126" s="8" t="s">
        <v>231</v>
      </c>
      <c r="L126" s="10" t="s">
        <v>907</v>
      </c>
      <c r="M126" s="8" t="s">
        <v>908</v>
      </c>
      <c r="N126" s="8" t="s">
        <v>902</v>
      </c>
      <c r="O126" s="8" t="s">
        <v>102</v>
      </c>
      <c r="P126" s="8"/>
      <c r="Q126" s="9" t="s">
        <v>903</v>
      </c>
      <c r="R126" s="8" t="s">
        <v>103</v>
      </c>
      <c r="S126" s="8" t="s">
        <v>76</v>
      </c>
      <c r="T126" s="11" t="s">
        <v>77</v>
      </c>
      <c r="U126" s="8" t="s">
        <v>551</v>
      </c>
      <c r="V126" s="8" t="s">
        <v>217</v>
      </c>
      <c r="W126" s="8" t="n">
        <v>2</v>
      </c>
      <c r="X126" s="8" t="s">
        <v>552</v>
      </c>
      <c r="Y126" s="8" t="s">
        <v>390</v>
      </c>
      <c r="Z126" s="8" t="s">
        <v>248</v>
      </c>
      <c r="AA126" s="11"/>
      <c r="AB126" s="8"/>
    </row>
    <row r="127" customFormat="false" ht="23.25" hidden="false" customHeight="true" outlineLevel="0" collapsed="false">
      <c r="A127" s="8" t="s">
        <v>909</v>
      </c>
      <c r="B127" s="8" t="s">
        <v>910</v>
      </c>
      <c r="C127" s="8" t="s">
        <v>200</v>
      </c>
      <c r="D127" s="8" t="s">
        <v>63</v>
      </c>
      <c r="E127" s="8" t="s">
        <v>546</v>
      </c>
      <c r="F127" s="8" t="s">
        <v>547</v>
      </c>
      <c r="G127" s="8" t="s">
        <v>66</v>
      </c>
      <c r="H127" s="8" t="s">
        <v>603</v>
      </c>
      <c r="I127" s="9" t="n">
        <v>1</v>
      </c>
      <c r="J127" s="8" t="s">
        <v>361</v>
      </c>
      <c r="K127" s="8" t="s">
        <v>231</v>
      </c>
      <c r="L127" s="10" t="s">
        <v>201</v>
      </c>
      <c r="M127" s="8" t="s">
        <v>911</v>
      </c>
      <c r="N127" s="8" t="s">
        <v>912</v>
      </c>
      <c r="O127" s="8" t="s">
        <v>102</v>
      </c>
      <c r="P127" s="8"/>
      <c r="Q127" s="9" t="s">
        <v>909</v>
      </c>
      <c r="R127" s="8" t="s">
        <v>103</v>
      </c>
      <c r="S127" s="8" t="s">
        <v>104</v>
      </c>
      <c r="T127" s="11" t="s">
        <v>77</v>
      </c>
      <c r="U127" s="8" t="s">
        <v>551</v>
      </c>
      <c r="V127" s="8" t="s">
        <v>217</v>
      </c>
      <c r="W127" s="8" t="n">
        <v>2</v>
      </c>
      <c r="X127" s="8" t="s">
        <v>552</v>
      </c>
      <c r="Y127" s="8" t="s">
        <v>390</v>
      </c>
      <c r="Z127" s="8" t="s">
        <v>248</v>
      </c>
      <c r="AA127" s="11"/>
      <c r="AB127" s="8"/>
    </row>
    <row r="128" customFormat="false" ht="23.25" hidden="false" customHeight="true" outlineLevel="0" collapsed="false">
      <c r="A128" s="8" t="s">
        <v>913</v>
      </c>
      <c r="B128" s="8" t="s">
        <v>914</v>
      </c>
      <c r="C128" s="8" t="s">
        <v>561</v>
      </c>
      <c r="D128" s="8" t="s">
        <v>63</v>
      </c>
      <c r="E128" s="8" t="s">
        <v>546</v>
      </c>
      <c r="F128" s="8" t="s">
        <v>547</v>
      </c>
      <c r="G128" s="8" t="s">
        <v>66</v>
      </c>
      <c r="H128" s="8" t="s">
        <v>603</v>
      </c>
      <c r="I128" s="9" t="n">
        <v>1</v>
      </c>
      <c r="J128" s="8" t="s">
        <v>236</v>
      </c>
      <c r="K128" s="8" t="s">
        <v>915</v>
      </c>
      <c r="L128" s="10" t="s">
        <v>916</v>
      </c>
      <c r="M128" s="8" t="s">
        <v>917</v>
      </c>
      <c r="N128" s="8" t="s">
        <v>918</v>
      </c>
      <c r="O128" s="8" t="s">
        <v>102</v>
      </c>
      <c r="P128" s="8"/>
      <c r="Q128" s="9" t="s">
        <v>913</v>
      </c>
      <c r="R128" s="8" t="s">
        <v>103</v>
      </c>
      <c r="S128" s="8" t="s">
        <v>76</v>
      </c>
      <c r="T128" s="11" t="s">
        <v>77</v>
      </c>
      <c r="U128" s="8" t="s">
        <v>551</v>
      </c>
      <c r="V128" s="8" t="s">
        <v>217</v>
      </c>
      <c r="W128" s="8" t="n">
        <v>2</v>
      </c>
      <c r="X128" s="8" t="s">
        <v>552</v>
      </c>
      <c r="Y128" s="8" t="s">
        <v>390</v>
      </c>
      <c r="Z128" s="8" t="s">
        <v>248</v>
      </c>
      <c r="AA128" s="11"/>
      <c r="AB128" s="8"/>
    </row>
    <row r="129" customFormat="false" ht="23.25" hidden="false" customHeight="true" outlineLevel="0" collapsed="false">
      <c r="A129" s="8" t="s">
        <v>919</v>
      </c>
      <c r="B129" s="8" t="s">
        <v>920</v>
      </c>
      <c r="C129" s="8" t="s">
        <v>921</v>
      </c>
      <c r="D129" s="8" t="s">
        <v>63</v>
      </c>
      <c r="E129" s="8" t="s">
        <v>546</v>
      </c>
      <c r="F129" s="8" t="s">
        <v>547</v>
      </c>
      <c r="G129" s="8" t="s">
        <v>156</v>
      </c>
      <c r="H129" s="8" t="s">
        <v>311</v>
      </c>
      <c r="I129" s="9" t="n">
        <v>2</v>
      </c>
      <c r="J129" s="8" t="s">
        <v>142</v>
      </c>
      <c r="K129" s="8" t="s">
        <v>69</v>
      </c>
      <c r="L129" s="10" t="s">
        <v>922</v>
      </c>
      <c r="M129" s="8" t="s">
        <v>923</v>
      </c>
      <c r="N129" s="8" t="s">
        <v>924</v>
      </c>
      <c r="O129" s="8" t="s">
        <v>73</v>
      </c>
      <c r="P129" s="8"/>
      <c r="Q129" s="9" t="s">
        <v>919</v>
      </c>
      <c r="R129" s="8" t="s">
        <v>75</v>
      </c>
      <c r="S129" s="8" t="s">
        <v>76</v>
      </c>
      <c r="T129" s="11" t="s">
        <v>77</v>
      </c>
      <c r="U129" s="8" t="s">
        <v>551</v>
      </c>
      <c r="V129" s="8" t="s">
        <v>132</v>
      </c>
      <c r="W129" s="8" t="n">
        <v>1</v>
      </c>
      <c r="X129" s="8" t="s">
        <v>552</v>
      </c>
      <c r="Y129" s="8" t="s">
        <v>390</v>
      </c>
      <c r="Z129" s="8" t="s">
        <v>248</v>
      </c>
      <c r="AA129" s="11"/>
      <c r="AB129" s="8"/>
    </row>
    <row r="130" customFormat="false" ht="23.25" hidden="false" customHeight="true" outlineLevel="0" collapsed="false">
      <c r="A130" s="8" t="s">
        <v>925</v>
      </c>
      <c r="B130" s="8" t="s">
        <v>926</v>
      </c>
      <c r="C130" s="8" t="s">
        <v>927</v>
      </c>
      <c r="D130" s="8" t="s">
        <v>63</v>
      </c>
      <c r="E130" s="8" t="s">
        <v>546</v>
      </c>
      <c r="F130" s="8" t="s">
        <v>547</v>
      </c>
      <c r="G130" s="8" t="s">
        <v>156</v>
      </c>
      <c r="H130" s="8" t="s">
        <v>603</v>
      </c>
      <c r="I130" s="9" t="n">
        <v>1</v>
      </c>
      <c r="J130" s="8" t="s">
        <v>142</v>
      </c>
      <c r="K130" s="8" t="s">
        <v>231</v>
      </c>
      <c r="L130" s="10" t="s">
        <v>928</v>
      </c>
      <c r="M130" s="8" t="s">
        <v>929</v>
      </c>
      <c r="N130" s="8" t="s">
        <v>930</v>
      </c>
      <c r="O130" s="8" t="s">
        <v>73</v>
      </c>
      <c r="P130" s="8"/>
      <c r="Q130" s="9" t="s">
        <v>925</v>
      </c>
      <c r="R130" s="8" t="s">
        <v>75</v>
      </c>
      <c r="S130" s="8" t="s">
        <v>76</v>
      </c>
      <c r="T130" s="11" t="s">
        <v>77</v>
      </c>
      <c r="U130" s="8" t="s">
        <v>551</v>
      </c>
      <c r="V130" s="8" t="s">
        <v>132</v>
      </c>
      <c r="W130" s="8" t="n">
        <v>1</v>
      </c>
      <c r="X130" s="8" t="s">
        <v>552</v>
      </c>
      <c r="Y130" s="8" t="s">
        <v>390</v>
      </c>
      <c r="Z130" s="8" t="s">
        <v>248</v>
      </c>
      <c r="AA130" s="11"/>
      <c r="AB130" s="8"/>
    </row>
    <row r="131" customFormat="false" ht="23.25" hidden="false" customHeight="true" outlineLevel="0" collapsed="false">
      <c r="A131" s="8" t="s">
        <v>931</v>
      </c>
      <c r="B131" s="8" t="s">
        <v>932</v>
      </c>
      <c r="C131" s="8" t="s">
        <v>933</v>
      </c>
      <c r="D131" s="8" t="s">
        <v>63</v>
      </c>
      <c r="E131" s="8" t="s">
        <v>546</v>
      </c>
      <c r="F131" s="8" t="s">
        <v>547</v>
      </c>
      <c r="G131" s="8" t="s">
        <v>66</v>
      </c>
      <c r="H131" s="8" t="s">
        <v>311</v>
      </c>
      <c r="I131" s="9" t="n">
        <v>2</v>
      </c>
      <c r="J131" s="8" t="s">
        <v>68</v>
      </c>
      <c r="K131" s="8" t="s">
        <v>231</v>
      </c>
      <c r="L131" s="10" t="s">
        <v>934</v>
      </c>
      <c r="M131" s="8" t="s">
        <v>935</v>
      </c>
      <c r="N131" s="8" t="s">
        <v>936</v>
      </c>
      <c r="O131" s="8" t="s">
        <v>73</v>
      </c>
      <c r="P131" s="8"/>
      <c r="Q131" s="9" t="s">
        <v>931</v>
      </c>
      <c r="R131" s="8" t="s">
        <v>75</v>
      </c>
      <c r="S131" s="8" t="s">
        <v>76</v>
      </c>
      <c r="T131" s="11" t="s">
        <v>77</v>
      </c>
      <c r="U131" s="8" t="s">
        <v>551</v>
      </c>
      <c r="V131" s="8" t="s">
        <v>132</v>
      </c>
      <c r="W131" s="8" t="n">
        <v>1</v>
      </c>
      <c r="X131" s="8" t="s">
        <v>552</v>
      </c>
      <c r="Y131" s="8" t="s">
        <v>390</v>
      </c>
      <c r="Z131" s="8" t="s">
        <v>248</v>
      </c>
      <c r="AA131" s="11"/>
      <c r="AB131" s="8"/>
    </row>
    <row r="132" customFormat="false" ht="23.25" hidden="false" customHeight="true" outlineLevel="0" collapsed="false">
      <c r="A132" s="8" t="s">
        <v>937</v>
      </c>
      <c r="B132" s="8" t="s">
        <v>938</v>
      </c>
      <c r="C132" s="8" t="s">
        <v>939</v>
      </c>
      <c r="D132" s="8" t="s">
        <v>63</v>
      </c>
      <c r="E132" s="8" t="s">
        <v>546</v>
      </c>
      <c r="F132" s="8" t="s">
        <v>547</v>
      </c>
      <c r="G132" s="8" t="s">
        <v>66</v>
      </c>
      <c r="H132" s="8" t="s">
        <v>940</v>
      </c>
      <c r="I132" s="9" t="n">
        <v>2</v>
      </c>
      <c r="J132" s="8" t="s">
        <v>291</v>
      </c>
      <c r="K132" s="8" t="s">
        <v>449</v>
      </c>
      <c r="L132" s="10" t="s">
        <v>941</v>
      </c>
      <c r="M132" s="8" t="s">
        <v>942</v>
      </c>
      <c r="N132" s="8" t="s">
        <v>943</v>
      </c>
      <c r="O132" s="8" t="s">
        <v>73</v>
      </c>
      <c r="P132" s="8"/>
      <c r="Q132" s="9" t="s">
        <v>937</v>
      </c>
      <c r="R132" s="8" t="s">
        <v>75</v>
      </c>
      <c r="S132" s="8" t="s">
        <v>76</v>
      </c>
      <c r="T132" s="11" t="s">
        <v>77</v>
      </c>
      <c r="U132" s="8" t="s">
        <v>551</v>
      </c>
      <c r="V132" s="8" t="s">
        <v>217</v>
      </c>
      <c r="W132" s="8" t="n">
        <v>2</v>
      </c>
      <c r="X132" s="8" t="s">
        <v>552</v>
      </c>
      <c r="Y132" s="8" t="s">
        <v>390</v>
      </c>
      <c r="Z132" s="8" t="s">
        <v>248</v>
      </c>
      <c r="AA132" s="11"/>
      <c r="AB132" s="8"/>
    </row>
    <row r="133" customFormat="false" ht="23.25" hidden="false" customHeight="true" outlineLevel="0" collapsed="false">
      <c r="A133" s="8" t="s">
        <v>944</v>
      </c>
      <c r="B133" s="8" t="s">
        <v>945</v>
      </c>
      <c r="C133" s="8" t="s">
        <v>945</v>
      </c>
      <c r="D133" s="8" t="s">
        <v>63</v>
      </c>
      <c r="E133" s="8" t="s">
        <v>546</v>
      </c>
      <c r="F133" s="8" t="s">
        <v>547</v>
      </c>
      <c r="G133" s="8" t="s">
        <v>66</v>
      </c>
      <c r="H133" s="8" t="s">
        <v>893</v>
      </c>
      <c r="I133" s="9" t="n">
        <v>2</v>
      </c>
      <c r="J133" s="8" t="s">
        <v>291</v>
      </c>
      <c r="K133" s="8" t="s">
        <v>946</v>
      </c>
      <c r="L133" s="10" t="s">
        <v>947</v>
      </c>
      <c r="M133" s="8" t="s">
        <v>948</v>
      </c>
      <c r="N133" s="8" t="s">
        <v>949</v>
      </c>
      <c r="O133" s="8" t="s">
        <v>129</v>
      </c>
      <c r="P133" s="8"/>
      <c r="Q133" s="9" t="s">
        <v>944</v>
      </c>
      <c r="R133" s="8" t="s">
        <v>75</v>
      </c>
      <c r="S133" s="8" t="s">
        <v>93</v>
      </c>
      <c r="T133" s="11" t="s">
        <v>77</v>
      </c>
      <c r="U133" s="8" t="s">
        <v>551</v>
      </c>
      <c r="V133" s="8" t="s">
        <v>217</v>
      </c>
      <c r="W133" s="8" t="n">
        <v>2</v>
      </c>
      <c r="X133" s="8" t="s">
        <v>552</v>
      </c>
      <c r="Y133" s="8" t="s">
        <v>390</v>
      </c>
      <c r="Z133" s="8" t="s">
        <v>248</v>
      </c>
      <c r="AA133" s="11"/>
      <c r="AB133" s="8"/>
    </row>
    <row r="134" customFormat="false" ht="23.25" hidden="false" customHeight="true" outlineLevel="0" collapsed="false">
      <c r="A134" s="8" t="s">
        <v>950</v>
      </c>
      <c r="B134" s="8" t="s">
        <v>951</v>
      </c>
      <c r="C134" s="8" t="s">
        <v>545</v>
      </c>
      <c r="D134" s="8" t="s">
        <v>63</v>
      </c>
      <c r="E134" s="8" t="s">
        <v>546</v>
      </c>
      <c r="F134" s="8" t="s">
        <v>547</v>
      </c>
      <c r="G134" s="8" t="s">
        <v>66</v>
      </c>
      <c r="H134" s="8" t="s">
        <v>603</v>
      </c>
      <c r="I134" s="9" t="n">
        <v>1</v>
      </c>
      <c r="J134" s="8" t="s">
        <v>291</v>
      </c>
      <c r="K134" s="8" t="s">
        <v>604</v>
      </c>
      <c r="L134" s="10" t="s">
        <v>952</v>
      </c>
      <c r="M134" s="8" t="s">
        <v>953</v>
      </c>
      <c r="N134" s="8" t="s">
        <v>954</v>
      </c>
      <c r="O134" s="8" t="s">
        <v>102</v>
      </c>
      <c r="P134" s="8"/>
      <c r="Q134" s="9" t="s">
        <v>950</v>
      </c>
      <c r="R134" s="8" t="s">
        <v>103</v>
      </c>
      <c r="S134" s="8" t="s">
        <v>76</v>
      </c>
      <c r="T134" s="11" t="s">
        <v>77</v>
      </c>
      <c r="U134" s="8" t="s">
        <v>551</v>
      </c>
      <c r="V134" s="8" t="s">
        <v>217</v>
      </c>
      <c r="W134" s="8" t="n">
        <v>2</v>
      </c>
      <c r="X134" s="8" t="s">
        <v>552</v>
      </c>
      <c r="Y134" s="8" t="s">
        <v>390</v>
      </c>
      <c r="Z134" s="8" t="s">
        <v>248</v>
      </c>
      <c r="AA134" s="11"/>
      <c r="AB134" s="8"/>
    </row>
    <row r="135" customFormat="false" ht="23.25" hidden="false" customHeight="true" outlineLevel="0" collapsed="false">
      <c r="A135" s="8" t="s">
        <v>955</v>
      </c>
      <c r="B135" s="8" t="s">
        <v>956</v>
      </c>
      <c r="C135" s="8" t="s">
        <v>957</v>
      </c>
      <c r="D135" s="8" t="s">
        <v>164</v>
      </c>
      <c r="E135" s="8" t="s">
        <v>346</v>
      </c>
      <c r="F135" s="8" t="s">
        <v>346</v>
      </c>
      <c r="G135" s="8" t="s">
        <v>86</v>
      </c>
      <c r="H135" s="8" t="s">
        <v>603</v>
      </c>
      <c r="I135" s="9" t="n">
        <v>1</v>
      </c>
      <c r="J135" s="8" t="s">
        <v>157</v>
      </c>
      <c r="K135" s="8" t="s">
        <v>69</v>
      </c>
      <c r="L135" s="10" t="s">
        <v>958</v>
      </c>
      <c r="M135" s="8" t="s">
        <v>959</v>
      </c>
      <c r="N135" s="8" t="s">
        <v>960</v>
      </c>
      <c r="O135" s="8" t="s">
        <v>102</v>
      </c>
      <c r="P135" s="8"/>
      <c r="Q135" s="9" t="s">
        <v>955</v>
      </c>
      <c r="R135" s="8" t="s">
        <v>103</v>
      </c>
      <c r="S135" s="8" t="s">
        <v>104</v>
      </c>
      <c r="T135" s="11" t="s">
        <v>77</v>
      </c>
      <c r="U135" s="8" t="s">
        <v>584</v>
      </c>
      <c r="V135" s="8" t="s">
        <v>79</v>
      </c>
      <c r="W135" s="8" t="n">
        <v>2</v>
      </c>
      <c r="X135" s="8" t="s">
        <v>585</v>
      </c>
      <c r="Y135" s="8" t="s">
        <v>586</v>
      </c>
      <c r="Z135" s="8" t="s">
        <v>587</v>
      </c>
      <c r="AA135" s="11"/>
      <c r="AB135" s="8"/>
    </row>
    <row r="136" customFormat="false" ht="23.25" hidden="false" customHeight="true" outlineLevel="0" collapsed="false">
      <c r="A136" s="8" t="s">
        <v>961</v>
      </c>
      <c r="B136" s="8" t="s">
        <v>962</v>
      </c>
      <c r="C136" s="8" t="s">
        <v>963</v>
      </c>
      <c r="D136" s="8" t="s">
        <v>63</v>
      </c>
      <c r="E136" s="8" t="s">
        <v>346</v>
      </c>
      <c r="F136" s="8" t="s">
        <v>346</v>
      </c>
      <c r="G136" s="8" t="s">
        <v>156</v>
      </c>
      <c r="H136" s="8" t="s">
        <v>603</v>
      </c>
      <c r="I136" s="9" t="n">
        <v>1</v>
      </c>
      <c r="J136" s="8" t="s">
        <v>142</v>
      </c>
      <c r="K136" s="8" t="s">
        <v>231</v>
      </c>
      <c r="L136" s="10" t="s">
        <v>964</v>
      </c>
      <c r="M136" s="8" t="s">
        <v>965</v>
      </c>
      <c r="N136" s="8" t="s">
        <v>966</v>
      </c>
      <c r="O136" s="8" t="s">
        <v>102</v>
      </c>
      <c r="P136" s="8"/>
      <c r="Q136" s="9" t="s">
        <v>961</v>
      </c>
      <c r="R136" s="8" t="s">
        <v>103</v>
      </c>
      <c r="S136" s="8" t="s">
        <v>104</v>
      </c>
      <c r="T136" s="11" t="s">
        <v>77</v>
      </c>
      <c r="U136" s="8" t="s">
        <v>584</v>
      </c>
      <c r="V136" s="8" t="s">
        <v>79</v>
      </c>
      <c r="W136" s="8" t="n">
        <v>2</v>
      </c>
      <c r="X136" s="8" t="s">
        <v>585</v>
      </c>
      <c r="Y136" s="8" t="s">
        <v>586</v>
      </c>
      <c r="Z136" s="8" t="s">
        <v>587</v>
      </c>
      <c r="AA136" s="11"/>
      <c r="AB136" s="8"/>
    </row>
    <row r="137" customFormat="false" ht="23.25" hidden="false" customHeight="true" outlineLevel="0" collapsed="false">
      <c r="A137" s="8" t="s">
        <v>967</v>
      </c>
      <c r="B137" s="8" t="s">
        <v>968</v>
      </c>
      <c r="C137" s="8" t="s">
        <v>969</v>
      </c>
      <c r="D137" s="8" t="s">
        <v>63</v>
      </c>
      <c r="E137" s="8" t="s">
        <v>346</v>
      </c>
      <c r="F137" s="8" t="s">
        <v>346</v>
      </c>
      <c r="G137" s="8" t="s">
        <v>156</v>
      </c>
      <c r="H137" s="8" t="s">
        <v>311</v>
      </c>
      <c r="I137" s="9" t="n">
        <v>2</v>
      </c>
      <c r="J137" s="8" t="s">
        <v>142</v>
      </c>
      <c r="K137" s="8" t="s">
        <v>231</v>
      </c>
      <c r="L137" s="10" t="s">
        <v>970</v>
      </c>
      <c r="M137" s="8" t="s">
        <v>971</v>
      </c>
      <c r="N137" s="8" t="s">
        <v>972</v>
      </c>
      <c r="O137" s="8" t="s">
        <v>73</v>
      </c>
      <c r="P137" s="8"/>
      <c r="Q137" s="9" t="s">
        <v>967</v>
      </c>
      <c r="R137" s="8" t="s">
        <v>75</v>
      </c>
      <c r="S137" s="8" t="s">
        <v>131</v>
      </c>
      <c r="T137" s="11" t="s">
        <v>77</v>
      </c>
      <c r="U137" s="8" t="s">
        <v>584</v>
      </c>
      <c r="V137" s="8" t="s">
        <v>132</v>
      </c>
      <c r="W137" s="8" t="n">
        <v>1</v>
      </c>
      <c r="X137" s="8" t="s">
        <v>585</v>
      </c>
      <c r="Y137" s="8" t="s">
        <v>586</v>
      </c>
      <c r="Z137" s="8" t="s">
        <v>587</v>
      </c>
      <c r="AA137" s="11"/>
      <c r="AB137" s="8"/>
    </row>
    <row r="138" customFormat="false" ht="23.25" hidden="false" customHeight="true" outlineLevel="0" collapsed="false">
      <c r="A138" s="8" t="s">
        <v>973</v>
      </c>
      <c r="B138" s="8" t="s">
        <v>974</v>
      </c>
      <c r="C138" s="8" t="s">
        <v>520</v>
      </c>
      <c r="D138" s="8" t="s">
        <v>63</v>
      </c>
      <c r="E138" s="8" t="s">
        <v>346</v>
      </c>
      <c r="F138" s="8" t="s">
        <v>346</v>
      </c>
      <c r="G138" s="8" t="s">
        <v>86</v>
      </c>
      <c r="H138" s="8" t="s">
        <v>603</v>
      </c>
      <c r="I138" s="9" t="n">
        <v>1</v>
      </c>
      <c r="J138" s="8" t="s">
        <v>361</v>
      </c>
      <c r="K138" s="8" t="s">
        <v>231</v>
      </c>
      <c r="L138" s="10" t="s">
        <v>975</v>
      </c>
      <c r="M138" s="8" t="s">
        <v>976</v>
      </c>
      <c r="N138" s="8" t="s">
        <v>659</v>
      </c>
      <c r="O138" s="8" t="s">
        <v>102</v>
      </c>
      <c r="P138" s="8"/>
      <c r="Q138" s="9" t="s">
        <v>973</v>
      </c>
      <c r="R138" s="8" t="s">
        <v>103</v>
      </c>
      <c r="S138" s="8" t="s">
        <v>104</v>
      </c>
      <c r="T138" s="11" t="s">
        <v>77</v>
      </c>
      <c r="U138" s="8" t="s">
        <v>584</v>
      </c>
      <c r="V138" s="8" t="s">
        <v>79</v>
      </c>
      <c r="W138" s="8" t="n">
        <v>2</v>
      </c>
      <c r="X138" s="8" t="s">
        <v>585</v>
      </c>
      <c r="Y138" s="8" t="s">
        <v>586</v>
      </c>
      <c r="Z138" s="8" t="s">
        <v>587</v>
      </c>
      <c r="AA138" s="11"/>
      <c r="AB138" s="8"/>
    </row>
    <row r="139" customFormat="false" ht="23.25" hidden="false" customHeight="true" outlineLevel="0" collapsed="false">
      <c r="A139" s="8" t="s">
        <v>977</v>
      </c>
      <c r="B139" s="8" t="s">
        <v>978</v>
      </c>
      <c r="C139" s="8" t="s">
        <v>979</v>
      </c>
      <c r="D139" s="8" t="s">
        <v>63</v>
      </c>
      <c r="E139" s="8" t="s">
        <v>346</v>
      </c>
      <c r="F139" s="8" t="s">
        <v>346</v>
      </c>
      <c r="G139" s="8" t="s">
        <v>86</v>
      </c>
      <c r="H139" s="8" t="s">
        <v>603</v>
      </c>
      <c r="I139" s="9" t="n">
        <v>1</v>
      </c>
      <c r="J139" s="8" t="s">
        <v>361</v>
      </c>
      <c r="K139" s="8" t="s">
        <v>604</v>
      </c>
      <c r="L139" s="10" t="s">
        <v>980</v>
      </c>
      <c r="M139" s="8" t="s">
        <v>981</v>
      </c>
      <c r="N139" s="8" t="s">
        <v>982</v>
      </c>
      <c r="O139" s="8" t="s">
        <v>102</v>
      </c>
      <c r="P139" s="8"/>
      <c r="Q139" s="9" t="s">
        <v>977</v>
      </c>
      <c r="R139" s="8" t="s">
        <v>103</v>
      </c>
      <c r="S139" s="8" t="s">
        <v>104</v>
      </c>
      <c r="T139" s="11" t="s">
        <v>77</v>
      </c>
      <c r="U139" s="8" t="s">
        <v>584</v>
      </c>
      <c r="V139" s="8" t="s">
        <v>79</v>
      </c>
      <c r="W139" s="8" t="n">
        <v>2</v>
      </c>
      <c r="X139" s="8" t="s">
        <v>585</v>
      </c>
      <c r="Y139" s="8" t="s">
        <v>586</v>
      </c>
      <c r="Z139" s="8" t="s">
        <v>587</v>
      </c>
      <c r="AA139" s="11"/>
      <c r="AB139" s="8"/>
    </row>
    <row r="140" customFormat="false" ht="15" hidden="false" customHeight="true" outlineLevel="0" collapsed="false">
      <c r="A140" s="8" t="s">
        <v>153</v>
      </c>
      <c r="B140" s="8" t="s">
        <v>983</v>
      </c>
      <c r="C140" s="8" t="s">
        <v>984</v>
      </c>
      <c r="D140" s="8" t="s">
        <v>63</v>
      </c>
      <c r="E140" s="8" t="s">
        <v>148</v>
      </c>
      <c r="F140" s="8" t="s">
        <v>176</v>
      </c>
      <c r="G140" s="8" t="s">
        <v>66</v>
      </c>
      <c r="H140" s="8" t="s">
        <v>603</v>
      </c>
      <c r="I140" s="9" t="n">
        <v>1</v>
      </c>
      <c r="J140" s="8" t="s">
        <v>68</v>
      </c>
      <c r="K140" s="8" t="s">
        <v>98</v>
      </c>
      <c r="L140" s="10" t="s">
        <v>985</v>
      </c>
      <c r="M140" s="8" t="s">
        <v>986</v>
      </c>
      <c r="N140" s="8" t="s">
        <v>987</v>
      </c>
      <c r="O140" s="8" t="s">
        <v>102</v>
      </c>
      <c r="P140" s="8"/>
      <c r="Q140" s="9" t="s">
        <v>153</v>
      </c>
      <c r="R140" s="8" t="s">
        <v>103</v>
      </c>
      <c r="S140" s="8" t="s">
        <v>104</v>
      </c>
      <c r="T140" s="11" t="s">
        <v>77</v>
      </c>
      <c r="U140" s="8" t="s">
        <v>78</v>
      </c>
      <c r="V140" s="8" t="s">
        <v>79</v>
      </c>
      <c r="W140" s="8" t="n">
        <v>2</v>
      </c>
      <c r="X140" s="8" t="s">
        <v>80</v>
      </c>
      <c r="Y140" s="8" t="s">
        <v>81</v>
      </c>
      <c r="Z140" s="8" t="s">
        <v>82</v>
      </c>
      <c r="AA140" s="11"/>
      <c r="AB140" s="8"/>
    </row>
    <row r="141" customFormat="false" ht="15" hidden="false" customHeight="true" outlineLevel="0" collapsed="false">
      <c r="A141" s="8" t="s">
        <v>988</v>
      </c>
      <c r="B141" s="8" t="s">
        <v>989</v>
      </c>
      <c r="C141" s="8" t="s">
        <v>125</v>
      </c>
      <c r="D141" s="8" t="s">
        <v>63</v>
      </c>
      <c r="E141" s="8" t="s">
        <v>148</v>
      </c>
      <c r="F141" s="8" t="s">
        <v>176</v>
      </c>
      <c r="G141" s="8" t="s">
        <v>86</v>
      </c>
      <c r="H141" s="8" t="s">
        <v>603</v>
      </c>
      <c r="I141" s="9" t="n">
        <v>1</v>
      </c>
      <c r="J141" s="8" t="s">
        <v>157</v>
      </c>
      <c r="K141" s="8" t="s">
        <v>69</v>
      </c>
      <c r="L141" s="10" t="s">
        <v>990</v>
      </c>
      <c r="M141" s="8" t="s">
        <v>991</v>
      </c>
      <c r="N141" s="8" t="s">
        <v>992</v>
      </c>
      <c r="O141" s="8" t="s">
        <v>129</v>
      </c>
      <c r="P141" s="8"/>
      <c r="Q141" s="9" t="s">
        <v>988</v>
      </c>
      <c r="R141" s="8" t="s">
        <v>75</v>
      </c>
      <c r="S141" s="8" t="s">
        <v>93</v>
      </c>
      <c r="T141" s="11" t="s">
        <v>77</v>
      </c>
      <c r="U141" s="8" t="s">
        <v>78</v>
      </c>
      <c r="V141" s="8" t="s">
        <v>79</v>
      </c>
      <c r="W141" s="8" t="n">
        <v>2</v>
      </c>
      <c r="X141" s="8" t="s">
        <v>80</v>
      </c>
      <c r="Y141" s="8" t="s">
        <v>81</v>
      </c>
      <c r="Z141" s="8" t="s">
        <v>82</v>
      </c>
      <c r="AA141" s="11"/>
      <c r="AB141" s="8"/>
    </row>
    <row r="142" customFormat="false" ht="15" hidden="false" customHeight="true" outlineLevel="0" collapsed="false">
      <c r="A142" s="8" t="s">
        <v>993</v>
      </c>
      <c r="B142" s="8" t="s">
        <v>994</v>
      </c>
      <c r="C142" s="8" t="s">
        <v>995</v>
      </c>
      <c r="D142" s="8" t="s">
        <v>63</v>
      </c>
      <c r="E142" s="8" t="s">
        <v>148</v>
      </c>
      <c r="F142" s="8" t="s">
        <v>149</v>
      </c>
      <c r="G142" s="8" t="s">
        <v>156</v>
      </c>
      <c r="H142" s="8" t="s">
        <v>996</v>
      </c>
      <c r="I142" s="9" t="n">
        <v>2</v>
      </c>
      <c r="J142" s="8" t="s">
        <v>236</v>
      </c>
      <c r="K142" s="8" t="s">
        <v>98</v>
      </c>
      <c r="L142" s="10" t="s">
        <v>997</v>
      </c>
      <c r="M142" s="8" t="s">
        <v>998</v>
      </c>
      <c r="N142" s="8" t="s">
        <v>999</v>
      </c>
      <c r="O142" s="8" t="s">
        <v>102</v>
      </c>
      <c r="P142" s="8"/>
      <c r="Q142" s="9" t="s">
        <v>993</v>
      </c>
      <c r="R142" s="8" t="s">
        <v>103</v>
      </c>
      <c r="S142" s="8" t="s">
        <v>104</v>
      </c>
      <c r="T142" s="11" t="s">
        <v>77</v>
      </c>
      <c r="U142" s="8" t="s">
        <v>78</v>
      </c>
      <c r="V142" s="8" t="s">
        <v>79</v>
      </c>
      <c r="W142" s="8" t="n">
        <v>2</v>
      </c>
      <c r="X142" s="8" t="s">
        <v>80</v>
      </c>
      <c r="Y142" s="8" t="s">
        <v>81</v>
      </c>
      <c r="Z142" s="8" t="s">
        <v>82</v>
      </c>
      <c r="AA142" s="11"/>
      <c r="AB142" s="8"/>
    </row>
    <row r="143" customFormat="false" ht="15" hidden="false" customHeight="true" outlineLevel="0" collapsed="false">
      <c r="A143" s="8" t="s">
        <v>1000</v>
      </c>
      <c r="B143" s="8" t="s">
        <v>1001</v>
      </c>
      <c r="C143" s="8" t="s">
        <v>302</v>
      </c>
      <c r="D143" s="8" t="s">
        <v>63</v>
      </c>
      <c r="E143" s="8" t="s">
        <v>148</v>
      </c>
      <c r="F143" s="8" t="s">
        <v>176</v>
      </c>
      <c r="G143" s="8" t="s">
        <v>156</v>
      </c>
      <c r="H143" s="8" t="s">
        <v>603</v>
      </c>
      <c r="I143" s="9" t="n">
        <v>1</v>
      </c>
      <c r="J143" s="8" t="s">
        <v>1002</v>
      </c>
      <c r="K143" s="8" t="s">
        <v>69</v>
      </c>
      <c r="L143" s="10" t="s">
        <v>1003</v>
      </c>
      <c r="M143" s="8" t="s">
        <v>1004</v>
      </c>
      <c r="N143" s="8" t="s">
        <v>1005</v>
      </c>
      <c r="O143" s="8" t="s">
        <v>102</v>
      </c>
      <c r="P143" s="8"/>
      <c r="Q143" s="9" t="s">
        <v>1000</v>
      </c>
      <c r="R143" s="8" t="s">
        <v>103</v>
      </c>
      <c r="S143" s="8" t="s">
        <v>104</v>
      </c>
      <c r="T143" s="11" t="s">
        <v>77</v>
      </c>
      <c r="U143" s="8" t="s">
        <v>78</v>
      </c>
      <c r="V143" s="8" t="s">
        <v>79</v>
      </c>
      <c r="W143" s="8" t="n">
        <v>2</v>
      </c>
      <c r="X143" s="8" t="s">
        <v>80</v>
      </c>
      <c r="Y143" s="8" t="s">
        <v>81</v>
      </c>
      <c r="Z143" s="8" t="s">
        <v>82</v>
      </c>
      <c r="AA143" s="11"/>
      <c r="AB143" s="8"/>
    </row>
    <row r="144" customFormat="false" ht="15" hidden="false" customHeight="true" outlineLevel="0" collapsed="false">
      <c r="A144" s="8" t="s">
        <v>1006</v>
      </c>
      <c r="B144" s="8" t="s">
        <v>1007</v>
      </c>
      <c r="C144" s="8" t="s">
        <v>1008</v>
      </c>
      <c r="D144" s="8" t="s">
        <v>63</v>
      </c>
      <c r="E144" s="8" t="s">
        <v>274</v>
      </c>
      <c r="F144" s="8" t="s">
        <v>176</v>
      </c>
      <c r="G144" s="8" t="s">
        <v>86</v>
      </c>
      <c r="H144" s="8" t="s">
        <v>603</v>
      </c>
      <c r="I144" s="9" t="n">
        <v>1</v>
      </c>
      <c r="J144" s="8" t="s">
        <v>68</v>
      </c>
      <c r="K144" s="8" t="s">
        <v>1009</v>
      </c>
      <c r="L144" s="10" t="s">
        <v>1010</v>
      </c>
      <c r="M144" s="8" t="s">
        <v>1011</v>
      </c>
      <c r="N144" s="8" t="s">
        <v>1012</v>
      </c>
      <c r="O144" s="8" t="s">
        <v>102</v>
      </c>
      <c r="P144" s="8"/>
      <c r="Q144" s="9" t="s">
        <v>1006</v>
      </c>
      <c r="R144" s="8" t="s">
        <v>103</v>
      </c>
      <c r="S144" s="8" t="s">
        <v>104</v>
      </c>
      <c r="T144" s="11" t="s">
        <v>77</v>
      </c>
      <c r="U144" s="8" t="s">
        <v>279</v>
      </c>
      <c r="V144" s="8" t="s">
        <v>79</v>
      </c>
      <c r="W144" s="8" t="n">
        <v>2</v>
      </c>
      <c r="X144" s="8" t="s">
        <v>280</v>
      </c>
      <c r="Y144" s="8" t="s">
        <v>219</v>
      </c>
      <c r="Z144" s="8" t="s">
        <v>281</v>
      </c>
      <c r="AA144" s="11"/>
      <c r="AB144" s="8"/>
    </row>
    <row r="145" customFormat="false" ht="15" hidden="false" customHeight="true" outlineLevel="0" collapsed="false">
      <c r="A145" s="8" t="s">
        <v>1013</v>
      </c>
      <c r="B145" s="8" t="s">
        <v>1014</v>
      </c>
      <c r="C145" s="8" t="s">
        <v>1015</v>
      </c>
      <c r="D145" s="8" t="s">
        <v>63</v>
      </c>
      <c r="E145" s="8" t="s">
        <v>408</v>
      </c>
      <c r="F145" s="8" t="s">
        <v>176</v>
      </c>
      <c r="G145" s="8" t="s">
        <v>156</v>
      </c>
      <c r="H145" s="8" t="s">
        <v>311</v>
      </c>
      <c r="I145" s="9" t="n">
        <v>2</v>
      </c>
      <c r="J145" s="8" t="s">
        <v>142</v>
      </c>
      <c r="K145" s="8" t="s">
        <v>231</v>
      </c>
      <c r="L145" s="10" t="s">
        <v>1016</v>
      </c>
      <c r="M145" s="8" t="s">
        <v>1017</v>
      </c>
      <c r="N145" s="8" t="s">
        <v>1018</v>
      </c>
      <c r="O145" s="8" t="s">
        <v>73</v>
      </c>
      <c r="P145" s="8"/>
      <c r="Q145" s="9" t="s">
        <v>1013</v>
      </c>
      <c r="R145" s="8" t="s">
        <v>75</v>
      </c>
      <c r="S145" s="8" t="s">
        <v>131</v>
      </c>
      <c r="T145" s="11" t="s">
        <v>77</v>
      </c>
      <c r="U145" s="8" t="s">
        <v>78</v>
      </c>
      <c r="V145" s="8" t="s">
        <v>132</v>
      </c>
      <c r="W145" s="8" t="n">
        <v>1</v>
      </c>
      <c r="X145" s="8" t="s">
        <v>80</v>
      </c>
      <c r="Y145" s="8" t="s">
        <v>81</v>
      </c>
      <c r="Z145" s="8" t="s">
        <v>82</v>
      </c>
      <c r="AA145" s="11"/>
      <c r="AB145" s="8"/>
    </row>
    <row r="146" customFormat="false" ht="23.25" hidden="false" customHeight="true" outlineLevel="0" collapsed="false">
      <c r="A146" s="8" t="s">
        <v>1019</v>
      </c>
      <c r="B146" s="8" t="s">
        <v>1020</v>
      </c>
      <c r="C146" s="8" t="s">
        <v>85</v>
      </c>
      <c r="D146" s="8" t="s">
        <v>63</v>
      </c>
      <c r="E146" s="8" t="s">
        <v>331</v>
      </c>
      <c r="F146" s="8" t="s">
        <v>176</v>
      </c>
      <c r="G146" s="8" t="s">
        <v>86</v>
      </c>
      <c r="H146" s="8" t="s">
        <v>603</v>
      </c>
      <c r="I146" s="9" t="n">
        <v>1</v>
      </c>
      <c r="J146" s="8" t="s">
        <v>1021</v>
      </c>
      <c r="K146" s="8" t="s">
        <v>69</v>
      </c>
      <c r="L146" s="10" t="s">
        <v>1022</v>
      </c>
      <c r="M146" s="8" t="s">
        <v>1023</v>
      </c>
      <c r="N146" s="8" t="s">
        <v>1024</v>
      </c>
      <c r="O146" s="8" t="s">
        <v>129</v>
      </c>
      <c r="P146" s="8" t="s">
        <v>1025</v>
      </c>
      <c r="Q146" s="9" t="s">
        <v>83</v>
      </c>
      <c r="R146" s="8" t="s">
        <v>92</v>
      </c>
      <c r="S146" s="8" t="s">
        <v>131</v>
      </c>
      <c r="T146" s="11" t="s">
        <v>77</v>
      </c>
      <c r="U146" s="8" t="s">
        <v>78</v>
      </c>
      <c r="V146" s="8" t="s">
        <v>132</v>
      </c>
      <c r="W146" s="8" t="n">
        <v>1</v>
      </c>
      <c r="X146" s="8" t="s">
        <v>80</v>
      </c>
      <c r="Y146" s="8" t="s">
        <v>81</v>
      </c>
      <c r="Z146" s="8" t="s">
        <v>82</v>
      </c>
      <c r="AA146" s="11"/>
      <c r="AB146" s="8"/>
    </row>
    <row r="147" customFormat="false" ht="15" hidden="false" customHeight="true" outlineLevel="0" collapsed="false">
      <c r="A147" s="8" t="s">
        <v>1026</v>
      </c>
      <c r="B147" s="8" t="s">
        <v>1027</v>
      </c>
      <c r="C147" s="8" t="s">
        <v>1028</v>
      </c>
      <c r="D147" s="8" t="s">
        <v>164</v>
      </c>
      <c r="E147" s="8" t="s">
        <v>165</v>
      </c>
      <c r="F147" s="8" t="s">
        <v>184</v>
      </c>
      <c r="G147" s="8" t="s">
        <v>66</v>
      </c>
      <c r="H147" s="8" t="s">
        <v>603</v>
      </c>
      <c r="I147" s="9" t="n">
        <v>1</v>
      </c>
      <c r="J147" s="8" t="s">
        <v>166</v>
      </c>
      <c r="K147" s="8" t="s">
        <v>231</v>
      </c>
      <c r="L147" s="10" t="s">
        <v>1029</v>
      </c>
      <c r="M147" s="8" t="s">
        <v>1030</v>
      </c>
      <c r="N147" s="8" t="s">
        <v>1031</v>
      </c>
      <c r="O147" s="8" t="s">
        <v>102</v>
      </c>
      <c r="P147" s="8"/>
      <c r="Q147" s="9" t="s">
        <v>1026</v>
      </c>
      <c r="R147" s="8" t="s">
        <v>103</v>
      </c>
      <c r="S147" s="8" t="s">
        <v>104</v>
      </c>
      <c r="T147" s="11" t="s">
        <v>77</v>
      </c>
      <c r="U147" s="8" t="s">
        <v>171</v>
      </c>
      <c r="V147" s="8" t="s">
        <v>79</v>
      </c>
      <c r="W147" s="8" t="n">
        <v>2</v>
      </c>
      <c r="X147" s="8" t="s">
        <v>172</v>
      </c>
      <c r="Y147" s="8" t="s">
        <v>173</v>
      </c>
      <c r="Z147" s="8" t="s">
        <v>82</v>
      </c>
      <c r="AA147" s="11"/>
      <c r="AB147" s="8"/>
    </row>
    <row r="148" customFormat="false" ht="15" hidden="false" customHeight="true" outlineLevel="0" collapsed="false">
      <c r="A148" s="8" t="s">
        <v>1032</v>
      </c>
      <c r="B148" s="8" t="s">
        <v>1033</v>
      </c>
      <c r="C148" s="8" t="s">
        <v>1034</v>
      </c>
      <c r="D148" s="8" t="s">
        <v>164</v>
      </c>
      <c r="E148" s="8" t="s">
        <v>408</v>
      </c>
      <c r="F148" s="8" t="s">
        <v>184</v>
      </c>
      <c r="G148" s="8" t="s">
        <v>66</v>
      </c>
      <c r="H148" s="8" t="s">
        <v>311</v>
      </c>
      <c r="I148" s="9" t="n">
        <v>3</v>
      </c>
      <c r="J148" s="8" t="s">
        <v>142</v>
      </c>
      <c r="K148" s="8" t="s">
        <v>231</v>
      </c>
      <c r="L148" s="10" t="s">
        <v>1035</v>
      </c>
      <c r="M148" s="8" t="s">
        <v>1036</v>
      </c>
      <c r="N148" s="8" t="s">
        <v>1037</v>
      </c>
      <c r="O148" s="8" t="s">
        <v>73</v>
      </c>
      <c r="P148" s="8"/>
      <c r="Q148" s="9" t="s">
        <v>1032</v>
      </c>
      <c r="R148" s="8" t="s">
        <v>75</v>
      </c>
      <c r="S148" s="8" t="s">
        <v>131</v>
      </c>
      <c r="T148" s="11" t="s">
        <v>77</v>
      </c>
      <c r="U148" s="8" t="s">
        <v>78</v>
      </c>
      <c r="V148" s="8" t="s">
        <v>132</v>
      </c>
      <c r="W148" s="8" t="n">
        <v>1</v>
      </c>
      <c r="X148" s="8" t="s">
        <v>80</v>
      </c>
      <c r="Y148" s="8" t="s">
        <v>81</v>
      </c>
      <c r="Z148" s="8" t="s">
        <v>82</v>
      </c>
      <c r="AA148" s="11"/>
      <c r="AB148" s="8"/>
    </row>
    <row r="149" customFormat="false" ht="15" hidden="false" customHeight="true" outlineLevel="0" collapsed="false">
      <c r="A149" s="8" t="s">
        <v>1038</v>
      </c>
      <c r="B149" s="8" t="s">
        <v>1039</v>
      </c>
      <c r="C149" s="8" t="s">
        <v>1040</v>
      </c>
      <c r="D149" s="8" t="s">
        <v>184</v>
      </c>
      <c r="E149" s="8" t="s">
        <v>185</v>
      </c>
      <c r="F149" s="8" t="s">
        <v>184</v>
      </c>
      <c r="G149" s="8" t="s">
        <v>156</v>
      </c>
      <c r="H149" s="8" t="s">
        <v>311</v>
      </c>
      <c r="I149" s="9" t="n">
        <v>3</v>
      </c>
      <c r="J149" s="8" t="s">
        <v>142</v>
      </c>
      <c r="K149" s="8" t="s">
        <v>231</v>
      </c>
      <c r="L149" s="10" t="s">
        <v>1041</v>
      </c>
      <c r="M149" s="8" t="s">
        <v>1042</v>
      </c>
      <c r="N149" s="8" t="s">
        <v>1043</v>
      </c>
      <c r="O149" s="8" t="s">
        <v>73</v>
      </c>
      <c r="P149" s="8"/>
      <c r="Q149" s="9" t="s">
        <v>1038</v>
      </c>
      <c r="R149" s="8" t="s">
        <v>75</v>
      </c>
      <c r="S149" s="8" t="s">
        <v>104</v>
      </c>
      <c r="T149" s="11" t="s">
        <v>77</v>
      </c>
      <c r="U149" s="8" t="s">
        <v>190</v>
      </c>
      <c r="V149" s="8" t="s">
        <v>132</v>
      </c>
      <c r="W149" s="8" t="n">
        <v>1</v>
      </c>
      <c r="X149" s="8" t="s">
        <v>191</v>
      </c>
      <c r="Y149" s="8" t="s">
        <v>192</v>
      </c>
      <c r="Z149" s="8" t="s">
        <v>193</v>
      </c>
      <c r="AA149" s="11"/>
      <c r="AB149" s="8"/>
    </row>
    <row r="150" customFormat="false" ht="23.25" hidden="false" customHeight="true" outlineLevel="0" collapsed="false">
      <c r="A150" s="8" t="s">
        <v>1044</v>
      </c>
      <c r="B150" s="8" t="s">
        <v>1045</v>
      </c>
      <c r="C150" s="8" t="s">
        <v>1046</v>
      </c>
      <c r="D150" s="8" t="s">
        <v>164</v>
      </c>
      <c r="E150" s="8" t="s">
        <v>165</v>
      </c>
      <c r="F150" s="8" t="s">
        <v>184</v>
      </c>
      <c r="G150" s="8" t="s">
        <v>86</v>
      </c>
      <c r="H150" s="8" t="s">
        <v>603</v>
      </c>
      <c r="I150" s="9" t="n">
        <v>1</v>
      </c>
      <c r="J150" s="8" t="s">
        <v>846</v>
      </c>
      <c r="K150" s="8" t="s">
        <v>98</v>
      </c>
      <c r="L150" s="10" t="s">
        <v>1047</v>
      </c>
      <c r="M150" s="8" t="s">
        <v>1048</v>
      </c>
      <c r="N150" s="8" t="s">
        <v>1049</v>
      </c>
      <c r="O150" s="8" t="s">
        <v>129</v>
      </c>
      <c r="P150" s="8"/>
      <c r="Q150" s="9" t="s">
        <v>1044</v>
      </c>
      <c r="R150" s="8" t="s">
        <v>75</v>
      </c>
      <c r="S150" s="8" t="s">
        <v>93</v>
      </c>
      <c r="T150" s="11" t="s">
        <v>77</v>
      </c>
      <c r="U150" s="8" t="s">
        <v>171</v>
      </c>
      <c r="V150" s="8" t="s">
        <v>79</v>
      </c>
      <c r="W150" s="8" t="n">
        <v>2</v>
      </c>
      <c r="X150" s="8" t="s">
        <v>172</v>
      </c>
      <c r="Y150" s="8" t="s">
        <v>173</v>
      </c>
      <c r="Z150" s="8" t="s">
        <v>82</v>
      </c>
      <c r="AA150" s="11"/>
      <c r="AB150" s="8"/>
    </row>
    <row r="151" customFormat="false" ht="23.25" hidden="false" customHeight="true" outlineLevel="0" collapsed="false">
      <c r="A151" s="8" t="s">
        <v>1050</v>
      </c>
      <c r="B151" s="8" t="s">
        <v>1051</v>
      </c>
      <c r="C151" s="8" t="s">
        <v>125</v>
      </c>
      <c r="D151" s="8" t="s">
        <v>63</v>
      </c>
      <c r="E151" s="8" t="s">
        <v>165</v>
      </c>
      <c r="F151" s="8" t="s">
        <v>266</v>
      </c>
      <c r="G151" s="8" t="s">
        <v>86</v>
      </c>
      <c r="H151" s="8" t="s">
        <v>603</v>
      </c>
      <c r="I151" s="9" t="n">
        <v>1</v>
      </c>
      <c r="J151" s="8" t="s">
        <v>68</v>
      </c>
      <c r="K151" s="8" t="s">
        <v>69</v>
      </c>
      <c r="L151" s="10" t="s">
        <v>1052</v>
      </c>
      <c r="M151" s="8" t="s">
        <v>1053</v>
      </c>
      <c r="N151" s="8" t="s">
        <v>1054</v>
      </c>
      <c r="O151" s="8" t="s">
        <v>129</v>
      </c>
      <c r="P151" s="8"/>
      <c r="Q151" s="9" t="s">
        <v>1050</v>
      </c>
      <c r="R151" s="8" t="s">
        <v>75</v>
      </c>
      <c r="S151" s="8" t="s">
        <v>93</v>
      </c>
      <c r="T151" s="11" t="s">
        <v>77</v>
      </c>
      <c r="U151" s="8" t="s">
        <v>279</v>
      </c>
      <c r="V151" s="8" t="s">
        <v>79</v>
      </c>
      <c r="W151" s="8" t="n">
        <v>2</v>
      </c>
      <c r="X151" s="8" t="s">
        <v>280</v>
      </c>
      <c r="Y151" s="8" t="s">
        <v>219</v>
      </c>
      <c r="Z151" s="8" t="s">
        <v>281</v>
      </c>
      <c r="AA151" s="11"/>
      <c r="AB151" s="8"/>
    </row>
    <row r="152" customFormat="false" ht="15" hidden="false" customHeight="true" outlineLevel="0" collapsed="false">
      <c r="A152" s="8" t="s">
        <v>1055</v>
      </c>
      <c r="B152" s="8" t="s">
        <v>1056</v>
      </c>
      <c r="C152" s="8" t="s">
        <v>96</v>
      </c>
      <c r="D152" s="8" t="s">
        <v>63</v>
      </c>
      <c r="E152" s="8" t="s">
        <v>64</v>
      </c>
      <c r="F152" s="8" t="s">
        <v>65</v>
      </c>
      <c r="G152" s="8" t="s">
        <v>66</v>
      </c>
      <c r="H152" s="8" t="s">
        <v>603</v>
      </c>
      <c r="I152" s="9" t="n">
        <v>1</v>
      </c>
      <c r="J152" s="8" t="s">
        <v>470</v>
      </c>
      <c r="K152" s="8" t="s">
        <v>69</v>
      </c>
      <c r="L152" s="10" t="s">
        <v>1057</v>
      </c>
      <c r="M152" s="8" t="s">
        <v>1058</v>
      </c>
      <c r="N152" s="8" t="s">
        <v>1059</v>
      </c>
      <c r="O152" s="8" t="s">
        <v>102</v>
      </c>
      <c r="P152" s="8"/>
      <c r="Q152" s="9" t="s">
        <v>1055</v>
      </c>
      <c r="R152" s="8" t="s">
        <v>103</v>
      </c>
      <c r="S152" s="8" t="s">
        <v>104</v>
      </c>
      <c r="T152" s="11" t="s">
        <v>77</v>
      </c>
      <c r="U152" s="8" t="s">
        <v>78</v>
      </c>
      <c r="V152" s="8" t="s">
        <v>79</v>
      </c>
      <c r="W152" s="8" t="n">
        <v>2</v>
      </c>
      <c r="X152" s="8" t="s">
        <v>80</v>
      </c>
      <c r="Y152" s="8" t="s">
        <v>81</v>
      </c>
      <c r="Z152" s="8" t="s">
        <v>82</v>
      </c>
      <c r="AA152" s="11"/>
      <c r="AB152" s="8"/>
    </row>
    <row r="153" customFormat="false" ht="15" hidden="false" customHeight="true" outlineLevel="0" collapsed="false">
      <c r="A153" s="8" t="s">
        <v>1060</v>
      </c>
      <c r="B153" s="8" t="s">
        <v>1061</v>
      </c>
      <c r="C153" s="8" t="s">
        <v>96</v>
      </c>
      <c r="D153" s="8" t="s">
        <v>120</v>
      </c>
      <c r="E153" s="8" t="s">
        <v>64</v>
      </c>
      <c r="F153" s="8" t="s">
        <v>65</v>
      </c>
      <c r="G153" s="8" t="s">
        <v>66</v>
      </c>
      <c r="H153" s="8" t="s">
        <v>603</v>
      </c>
      <c r="I153" s="9" t="n">
        <v>1</v>
      </c>
      <c r="J153" s="8" t="s">
        <v>68</v>
      </c>
      <c r="K153" s="8" t="s">
        <v>69</v>
      </c>
      <c r="L153" s="10" t="s">
        <v>109</v>
      </c>
      <c r="M153" s="8" t="s">
        <v>1062</v>
      </c>
      <c r="N153" s="8" t="s">
        <v>1063</v>
      </c>
      <c r="O153" s="8" t="s">
        <v>102</v>
      </c>
      <c r="P153" s="8"/>
      <c r="Q153" s="9" t="s">
        <v>1060</v>
      </c>
      <c r="R153" s="8" t="s">
        <v>103</v>
      </c>
      <c r="S153" s="8" t="s">
        <v>104</v>
      </c>
      <c r="T153" s="11" t="s">
        <v>77</v>
      </c>
      <c r="U153" s="8" t="s">
        <v>78</v>
      </c>
      <c r="V153" s="8" t="s">
        <v>79</v>
      </c>
      <c r="W153" s="8" t="n">
        <v>2</v>
      </c>
      <c r="X153" s="8" t="s">
        <v>80</v>
      </c>
      <c r="Y153" s="8" t="s">
        <v>81</v>
      </c>
      <c r="Z153" s="8" t="s">
        <v>82</v>
      </c>
      <c r="AA153" s="11"/>
      <c r="AB153" s="8"/>
    </row>
    <row r="154" customFormat="false" ht="23.25" hidden="false" customHeight="true" outlineLevel="0" collapsed="false">
      <c r="A154" s="8" t="s">
        <v>1064</v>
      </c>
      <c r="B154" s="8" t="s">
        <v>1065</v>
      </c>
      <c r="C154" s="8" t="s">
        <v>206</v>
      </c>
      <c r="D154" s="8" t="s">
        <v>120</v>
      </c>
      <c r="E154" s="8" t="s">
        <v>207</v>
      </c>
      <c r="F154" s="8" t="s">
        <v>65</v>
      </c>
      <c r="G154" s="8" t="s">
        <v>66</v>
      </c>
      <c r="H154" s="8" t="s">
        <v>208</v>
      </c>
      <c r="I154" s="9" t="n">
        <v>2</v>
      </c>
      <c r="J154" s="8" t="s">
        <v>230</v>
      </c>
      <c r="K154" s="8" t="s">
        <v>604</v>
      </c>
      <c r="L154" s="10" t="s">
        <v>225</v>
      </c>
      <c r="M154" s="8" t="s">
        <v>1066</v>
      </c>
      <c r="N154" s="8" t="s">
        <v>1067</v>
      </c>
      <c r="O154" s="8" t="s">
        <v>214</v>
      </c>
      <c r="P154" s="8"/>
      <c r="Q154" s="9" t="s">
        <v>1064</v>
      </c>
      <c r="R154" s="8" t="s">
        <v>103</v>
      </c>
      <c r="S154" s="8" t="s">
        <v>215</v>
      </c>
      <c r="T154" s="11" t="s">
        <v>77</v>
      </c>
      <c r="U154" s="8" t="s">
        <v>245</v>
      </c>
      <c r="V154" s="8" t="s">
        <v>217</v>
      </c>
      <c r="W154" s="8" t="n">
        <v>2</v>
      </c>
      <c r="X154" s="8" t="s">
        <v>246</v>
      </c>
      <c r="Y154" s="8" t="s">
        <v>247</v>
      </c>
      <c r="Z154" s="8" t="s">
        <v>248</v>
      </c>
      <c r="AA154" s="11" t="s">
        <v>257</v>
      </c>
      <c r="AB154" s="8" t="s">
        <v>1068</v>
      </c>
    </row>
    <row r="155" customFormat="false" ht="23.25" hidden="false" customHeight="true" outlineLevel="0" collapsed="false">
      <c r="A155" s="8" t="s">
        <v>1069</v>
      </c>
      <c r="B155" s="8" t="s">
        <v>1070</v>
      </c>
      <c r="C155" s="8" t="s">
        <v>206</v>
      </c>
      <c r="D155" s="8" t="s">
        <v>107</v>
      </c>
      <c r="E155" s="8" t="s">
        <v>1071</v>
      </c>
      <c r="F155" s="8" t="s">
        <v>266</v>
      </c>
      <c r="G155" s="8" t="s">
        <v>66</v>
      </c>
      <c r="H155" s="8" t="s">
        <v>603</v>
      </c>
      <c r="I155" s="9" t="n">
        <v>1</v>
      </c>
      <c r="J155" s="8" t="s">
        <v>230</v>
      </c>
      <c r="K155" s="8" t="s">
        <v>69</v>
      </c>
      <c r="L155" s="10" t="s">
        <v>1072</v>
      </c>
      <c r="M155" s="8" t="s">
        <v>1073</v>
      </c>
      <c r="N155" s="8" t="s">
        <v>1074</v>
      </c>
      <c r="O155" s="8" t="s">
        <v>73</v>
      </c>
      <c r="P155" s="8"/>
      <c r="Q155" s="9" t="s">
        <v>1069</v>
      </c>
      <c r="R155" s="8" t="s">
        <v>75</v>
      </c>
      <c r="S155" s="8" t="s">
        <v>104</v>
      </c>
      <c r="T155" s="11" t="s">
        <v>77</v>
      </c>
      <c r="U155" s="8" t="s">
        <v>279</v>
      </c>
      <c r="V155" s="8" t="s">
        <v>217</v>
      </c>
      <c r="W155" s="8" t="n">
        <v>2</v>
      </c>
      <c r="X155" s="8" t="s">
        <v>280</v>
      </c>
      <c r="Y155" s="8" t="s">
        <v>219</v>
      </c>
      <c r="Z155" s="8" t="s">
        <v>281</v>
      </c>
      <c r="AA155" s="11"/>
      <c r="AB155" s="8"/>
    </row>
    <row r="156" customFormat="false" ht="23.25" hidden="false" customHeight="true" outlineLevel="0" collapsed="false">
      <c r="A156" s="8" t="s">
        <v>1075</v>
      </c>
      <c r="B156" s="8" t="s">
        <v>1076</v>
      </c>
      <c r="C156" s="8" t="s">
        <v>345</v>
      </c>
      <c r="D156" s="8" t="s">
        <v>241</v>
      </c>
      <c r="E156" s="8" t="s">
        <v>331</v>
      </c>
      <c r="F156" s="8" t="s">
        <v>65</v>
      </c>
      <c r="G156" s="8" t="s">
        <v>66</v>
      </c>
      <c r="H156" s="8" t="s">
        <v>603</v>
      </c>
      <c r="I156" s="9" t="n">
        <v>1</v>
      </c>
      <c r="J156" s="8" t="s">
        <v>68</v>
      </c>
      <c r="K156" s="8" t="s">
        <v>471</v>
      </c>
      <c r="L156" s="10" t="s">
        <v>1077</v>
      </c>
      <c r="M156" s="8" t="s">
        <v>1078</v>
      </c>
      <c r="N156" s="8" t="s">
        <v>1079</v>
      </c>
      <c r="O156" s="8" t="s">
        <v>102</v>
      </c>
      <c r="P156" s="8"/>
      <c r="Q156" s="9" t="s">
        <v>1075</v>
      </c>
      <c r="R156" s="8" t="s">
        <v>103</v>
      </c>
      <c r="S156" s="8" t="s">
        <v>76</v>
      </c>
      <c r="T156" s="11" t="s">
        <v>77</v>
      </c>
      <c r="U156" s="8" t="s">
        <v>245</v>
      </c>
      <c r="V156" s="8" t="s">
        <v>79</v>
      </c>
      <c r="W156" s="8" t="n">
        <v>2</v>
      </c>
      <c r="X156" s="8" t="s">
        <v>246</v>
      </c>
      <c r="Y156" s="8" t="s">
        <v>247</v>
      </c>
      <c r="Z156" s="8" t="s">
        <v>248</v>
      </c>
      <c r="AA156" s="11"/>
      <c r="AB156" s="8"/>
    </row>
    <row r="157" customFormat="false" ht="15" hidden="false" customHeight="true" outlineLevel="0" collapsed="false">
      <c r="A157" s="8" t="s">
        <v>1080</v>
      </c>
      <c r="B157" s="8" t="s">
        <v>1081</v>
      </c>
      <c r="C157" s="8" t="s">
        <v>1082</v>
      </c>
      <c r="D157" s="8" t="s">
        <v>63</v>
      </c>
      <c r="E157" s="8" t="s">
        <v>64</v>
      </c>
      <c r="F157" s="8" t="s">
        <v>65</v>
      </c>
      <c r="G157" s="8" t="s">
        <v>66</v>
      </c>
      <c r="H157" s="8" t="s">
        <v>603</v>
      </c>
      <c r="I157" s="9" t="n">
        <v>1</v>
      </c>
      <c r="J157" s="8" t="s">
        <v>166</v>
      </c>
      <c r="K157" s="8" t="s">
        <v>69</v>
      </c>
      <c r="L157" s="10" t="s">
        <v>1083</v>
      </c>
      <c r="M157" s="8" t="s">
        <v>1084</v>
      </c>
      <c r="N157" s="8" t="s">
        <v>1085</v>
      </c>
      <c r="O157" s="8" t="s">
        <v>102</v>
      </c>
      <c r="P157" s="8"/>
      <c r="Q157" s="9" t="s">
        <v>1080</v>
      </c>
      <c r="R157" s="8" t="s">
        <v>103</v>
      </c>
      <c r="S157" s="8" t="s">
        <v>104</v>
      </c>
      <c r="T157" s="11" t="s">
        <v>77</v>
      </c>
      <c r="U157" s="8" t="s">
        <v>78</v>
      </c>
      <c r="V157" s="8" t="s">
        <v>79</v>
      </c>
      <c r="W157" s="8" t="n">
        <v>2</v>
      </c>
      <c r="X157" s="8" t="s">
        <v>80</v>
      </c>
      <c r="Y157" s="8" t="s">
        <v>81</v>
      </c>
      <c r="Z157" s="8" t="s">
        <v>82</v>
      </c>
      <c r="AA157" s="11"/>
      <c r="AB157" s="8"/>
    </row>
    <row r="158" customFormat="false" ht="15" hidden="false" customHeight="true" outlineLevel="0" collapsed="false">
      <c r="A158" s="8" t="s">
        <v>1086</v>
      </c>
      <c r="B158" s="8" t="s">
        <v>1087</v>
      </c>
      <c r="C158" s="8" t="s">
        <v>759</v>
      </c>
      <c r="D158" s="8" t="s">
        <v>120</v>
      </c>
      <c r="E158" s="8" t="s">
        <v>64</v>
      </c>
      <c r="F158" s="8" t="s">
        <v>65</v>
      </c>
      <c r="G158" s="8" t="s">
        <v>66</v>
      </c>
      <c r="H158" s="8" t="s">
        <v>603</v>
      </c>
      <c r="I158" s="9" t="n">
        <v>1</v>
      </c>
      <c r="J158" s="8" t="s">
        <v>539</v>
      </c>
      <c r="K158" s="8" t="s">
        <v>231</v>
      </c>
      <c r="L158" s="10" t="s">
        <v>1088</v>
      </c>
      <c r="M158" s="8" t="s">
        <v>1089</v>
      </c>
      <c r="N158" s="8" t="s">
        <v>1090</v>
      </c>
      <c r="O158" s="8" t="s">
        <v>102</v>
      </c>
      <c r="P158" s="8"/>
      <c r="Q158" s="9" t="s">
        <v>1086</v>
      </c>
      <c r="R158" s="8" t="s">
        <v>103</v>
      </c>
      <c r="S158" s="8" t="s">
        <v>104</v>
      </c>
      <c r="T158" s="11" t="s">
        <v>77</v>
      </c>
      <c r="U158" s="8" t="s">
        <v>78</v>
      </c>
      <c r="V158" s="8" t="s">
        <v>79</v>
      </c>
      <c r="W158" s="8" t="n">
        <v>2</v>
      </c>
      <c r="X158" s="8" t="s">
        <v>80</v>
      </c>
      <c r="Y158" s="8" t="s">
        <v>81</v>
      </c>
      <c r="Z158" s="8" t="s">
        <v>82</v>
      </c>
      <c r="AA158" s="11"/>
      <c r="AB158" s="8"/>
    </row>
    <row r="159" customFormat="false" ht="15" hidden="false" customHeight="true" outlineLevel="0" collapsed="false">
      <c r="A159" s="8" t="s">
        <v>1091</v>
      </c>
      <c r="B159" s="8" t="s">
        <v>1092</v>
      </c>
      <c r="C159" s="8" t="s">
        <v>662</v>
      </c>
      <c r="D159" s="8" t="s">
        <v>114</v>
      </c>
      <c r="E159" s="8" t="s">
        <v>148</v>
      </c>
      <c r="F159" s="8" t="s">
        <v>149</v>
      </c>
      <c r="G159" s="8" t="s">
        <v>66</v>
      </c>
      <c r="H159" s="8" t="s">
        <v>603</v>
      </c>
      <c r="I159" s="9" t="n">
        <v>1</v>
      </c>
      <c r="J159" s="8" t="s">
        <v>361</v>
      </c>
      <c r="K159" s="8" t="s">
        <v>231</v>
      </c>
      <c r="L159" s="10" t="s">
        <v>1093</v>
      </c>
      <c r="M159" s="8" t="s">
        <v>1094</v>
      </c>
      <c r="N159" s="8" t="s">
        <v>1095</v>
      </c>
      <c r="O159" s="8" t="s">
        <v>102</v>
      </c>
      <c r="P159" s="8"/>
      <c r="Q159" s="9" t="s">
        <v>1091</v>
      </c>
      <c r="R159" s="8" t="s">
        <v>103</v>
      </c>
      <c r="S159" s="8" t="s">
        <v>215</v>
      </c>
      <c r="T159" s="11" t="s">
        <v>77</v>
      </c>
      <c r="U159" s="8" t="s">
        <v>78</v>
      </c>
      <c r="V159" s="8" t="s">
        <v>79</v>
      </c>
      <c r="W159" s="8" t="n">
        <v>2</v>
      </c>
      <c r="X159" s="8" t="s">
        <v>80</v>
      </c>
      <c r="Y159" s="8" t="s">
        <v>81</v>
      </c>
      <c r="Z159" s="8" t="s">
        <v>82</v>
      </c>
      <c r="AA159" s="11"/>
      <c r="AB159" s="8"/>
    </row>
    <row r="160" customFormat="false" ht="23.25" hidden="false" customHeight="true" outlineLevel="0" collapsed="false">
      <c r="A160" s="8" t="s">
        <v>1096</v>
      </c>
      <c r="B160" s="8" t="s">
        <v>1097</v>
      </c>
      <c r="C160" s="8" t="s">
        <v>1098</v>
      </c>
      <c r="D160" s="8" t="s">
        <v>63</v>
      </c>
      <c r="E160" s="8" t="s">
        <v>1099</v>
      </c>
      <c r="F160" s="8" t="s">
        <v>176</v>
      </c>
      <c r="G160" s="8" t="s">
        <v>156</v>
      </c>
      <c r="H160" s="8" t="s">
        <v>1100</v>
      </c>
      <c r="I160" s="9" t="n">
        <v>2</v>
      </c>
      <c r="J160" s="8" t="s">
        <v>166</v>
      </c>
      <c r="K160" s="8" t="s">
        <v>1101</v>
      </c>
      <c r="L160" s="10"/>
      <c r="M160" s="8" t="s">
        <v>1102</v>
      </c>
      <c r="N160" s="8" t="s">
        <v>1103</v>
      </c>
      <c r="O160" s="8" t="s">
        <v>129</v>
      </c>
      <c r="P160" s="8" t="s">
        <v>1104</v>
      </c>
      <c r="Q160" s="9" t="s">
        <v>1096</v>
      </c>
      <c r="R160" s="8" t="s">
        <v>92</v>
      </c>
      <c r="S160" s="8" t="s">
        <v>131</v>
      </c>
      <c r="T160" s="11" t="s">
        <v>77</v>
      </c>
      <c r="U160" s="8" t="s">
        <v>78</v>
      </c>
      <c r="V160" s="8" t="s">
        <v>1105</v>
      </c>
      <c r="W160" s="8" t="n">
        <v>0</v>
      </c>
      <c r="X160" s="8" t="s">
        <v>1106</v>
      </c>
      <c r="Y160" s="8" t="s">
        <v>81</v>
      </c>
      <c r="Z160" s="8" t="s">
        <v>1107</v>
      </c>
      <c r="AA160" s="11"/>
      <c r="AB160" s="8"/>
    </row>
    <row r="161" customFormat="false" ht="23.25" hidden="false" customHeight="true" outlineLevel="0" collapsed="false">
      <c r="A161" s="8" t="s">
        <v>1108</v>
      </c>
      <c r="B161" s="8" t="s">
        <v>1109</v>
      </c>
      <c r="C161" s="8" t="s">
        <v>1098</v>
      </c>
      <c r="D161" s="8" t="s">
        <v>63</v>
      </c>
      <c r="E161" s="8" t="s">
        <v>1099</v>
      </c>
      <c r="F161" s="8" t="s">
        <v>266</v>
      </c>
      <c r="G161" s="8" t="s">
        <v>156</v>
      </c>
      <c r="H161" s="8" t="s">
        <v>1100</v>
      </c>
      <c r="I161" s="9" t="n">
        <v>2</v>
      </c>
      <c r="J161" s="8" t="s">
        <v>1110</v>
      </c>
      <c r="K161" s="8" t="s">
        <v>1101</v>
      </c>
      <c r="L161" s="10"/>
      <c r="M161" s="8" t="s">
        <v>1111</v>
      </c>
      <c r="N161" s="8" t="s">
        <v>1103</v>
      </c>
      <c r="O161" s="8" t="s">
        <v>129</v>
      </c>
      <c r="P161" s="8" t="s">
        <v>1112</v>
      </c>
      <c r="Q161" s="9" t="s">
        <v>1108</v>
      </c>
      <c r="R161" s="8" t="s">
        <v>92</v>
      </c>
      <c r="S161" s="8" t="s">
        <v>131</v>
      </c>
      <c r="T161" s="11" t="s">
        <v>77</v>
      </c>
      <c r="U161" s="8" t="s">
        <v>78</v>
      </c>
      <c r="V161" s="8" t="s">
        <v>1105</v>
      </c>
      <c r="W161" s="8" t="n">
        <v>0</v>
      </c>
      <c r="X161" s="8" t="s">
        <v>1106</v>
      </c>
      <c r="Y161" s="8" t="s">
        <v>81</v>
      </c>
      <c r="Z161" s="8" t="s">
        <v>1107</v>
      </c>
      <c r="AA161" s="11"/>
      <c r="AB161" s="8"/>
    </row>
    <row r="162" customFormat="false" ht="23.25" hidden="false" customHeight="true" outlineLevel="0" collapsed="false">
      <c r="A162" s="8" t="s">
        <v>1113</v>
      </c>
      <c r="B162" s="8" t="s">
        <v>1114</v>
      </c>
      <c r="C162" s="8" t="s">
        <v>1098</v>
      </c>
      <c r="D162" s="8" t="s">
        <v>63</v>
      </c>
      <c r="E162" s="8" t="s">
        <v>1099</v>
      </c>
      <c r="F162" s="8" t="s">
        <v>149</v>
      </c>
      <c r="G162" s="8" t="s">
        <v>156</v>
      </c>
      <c r="H162" s="8" t="s">
        <v>1100</v>
      </c>
      <c r="I162" s="9" t="n">
        <v>2</v>
      </c>
      <c r="J162" s="8" t="s">
        <v>166</v>
      </c>
      <c r="K162" s="8" t="s">
        <v>1101</v>
      </c>
      <c r="L162" s="10"/>
      <c r="M162" s="8" t="s">
        <v>1115</v>
      </c>
      <c r="N162" s="8" t="s">
        <v>1103</v>
      </c>
      <c r="O162" s="8" t="s">
        <v>129</v>
      </c>
      <c r="P162" s="8" t="s">
        <v>1116</v>
      </c>
      <c r="Q162" s="9" t="s">
        <v>1113</v>
      </c>
      <c r="R162" s="8" t="s">
        <v>92</v>
      </c>
      <c r="S162" s="8" t="s">
        <v>131</v>
      </c>
      <c r="T162" s="11" t="s">
        <v>77</v>
      </c>
      <c r="U162" s="8" t="s">
        <v>78</v>
      </c>
      <c r="V162" s="8" t="s">
        <v>1105</v>
      </c>
      <c r="W162" s="8" t="n">
        <v>0</v>
      </c>
      <c r="X162" s="8" t="s">
        <v>1106</v>
      </c>
      <c r="Y162" s="8" t="s">
        <v>81</v>
      </c>
      <c r="Z162" s="8" t="s">
        <v>1107</v>
      </c>
      <c r="AA162" s="11"/>
      <c r="AB162" s="8"/>
    </row>
    <row r="163" customFormat="false" ht="34.5" hidden="false" customHeight="true" outlineLevel="0" collapsed="false">
      <c r="A163" s="8" t="s">
        <v>1117</v>
      </c>
      <c r="B163" s="8" t="s">
        <v>1118</v>
      </c>
      <c r="C163" s="8" t="s">
        <v>1098</v>
      </c>
      <c r="D163" s="8" t="s">
        <v>63</v>
      </c>
      <c r="E163" s="8" t="s">
        <v>1099</v>
      </c>
      <c r="F163" s="8" t="s">
        <v>547</v>
      </c>
      <c r="G163" s="8" t="s">
        <v>156</v>
      </c>
      <c r="H163" s="8" t="s">
        <v>1100</v>
      </c>
      <c r="I163" s="9" t="n">
        <v>2</v>
      </c>
      <c r="J163" s="8" t="s">
        <v>1119</v>
      </c>
      <c r="K163" s="8" t="s">
        <v>1101</v>
      </c>
      <c r="L163" s="10"/>
      <c r="M163" s="8" t="s">
        <v>1120</v>
      </c>
      <c r="N163" s="8" t="s">
        <v>1103</v>
      </c>
      <c r="O163" s="8" t="s">
        <v>129</v>
      </c>
      <c r="P163" s="8" t="s">
        <v>1121</v>
      </c>
      <c r="Q163" s="9" t="s">
        <v>1117</v>
      </c>
      <c r="R163" s="8" t="s">
        <v>92</v>
      </c>
      <c r="S163" s="8" t="s">
        <v>131</v>
      </c>
      <c r="T163" s="11" t="s">
        <v>77</v>
      </c>
      <c r="U163" s="8" t="s">
        <v>78</v>
      </c>
      <c r="V163" s="8" t="s">
        <v>1105</v>
      </c>
      <c r="W163" s="8" t="n">
        <v>0</v>
      </c>
      <c r="X163" s="8" t="s">
        <v>1106</v>
      </c>
      <c r="Y163" s="8" t="s">
        <v>81</v>
      </c>
      <c r="Z163" s="8" t="s">
        <v>1107</v>
      </c>
      <c r="AA163" s="11"/>
      <c r="AB163" s="8"/>
    </row>
    <row r="164" customFormat="false" ht="23.25" hidden="false" customHeight="true" outlineLevel="0" collapsed="false">
      <c r="A164" s="8" t="s">
        <v>1122</v>
      </c>
      <c r="B164" s="8" t="s">
        <v>1123</v>
      </c>
      <c r="C164" s="8" t="s">
        <v>1098</v>
      </c>
      <c r="D164" s="8" t="s">
        <v>63</v>
      </c>
      <c r="E164" s="8" t="s">
        <v>1099</v>
      </c>
      <c r="F164" s="8" t="s">
        <v>346</v>
      </c>
      <c r="G164" s="8" t="s">
        <v>156</v>
      </c>
      <c r="H164" s="8" t="s">
        <v>1100</v>
      </c>
      <c r="I164" s="9" t="n">
        <v>2</v>
      </c>
      <c r="J164" s="8" t="s">
        <v>166</v>
      </c>
      <c r="K164" s="8" t="s">
        <v>1101</v>
      </c>
      <c r="L164" s="10"/>
      <c r="M164" s="8" t="s">
        <v>1124</v>
      </c>
      <c r="N164" s="8" t="s">
        <v>1103</v>
      </c>
      <c r="O164" s="8" t="s">
        <v>129</v>
      </c>
      <c r="P164" s="8" t="s">
        <v>1125</v>
      </c>
      <c r="Q164" s="9" t="s">
        <v>1122</v>
      </c>
      <c r="R164" s="8" t="s">
        <v>92</v>
      </c>
      <c r="S164" s="8" t="s">
        <v>131</v>
      </c>
      <c r="T164" s="11" t="s">
        <v>77</v>
      </c>
      <c r="U164" s="8" t="s">
        <v>78</v>
      </c>
      <c r="V164" s="8" t="s">
        <v>1105</v>
      </c>
      <c r="W164" s="8" t="n">
        <v>0</v>
      </c>
      <c r="X164" s="8" t="s">
        <v>1106</v>
      </c>
      <c r="Y164" s="8" t="s">
        <v>81</v>
      </c>
      <c r="Z164" s="8" t="s">
        <v>1107</v>
      </c>
      <c r="AA164" s="11"/>
      <c r="AB164" s="8"/>
    </row>
    <row r="165" customFormat="false" ht="34.5" hidden="false" customHeight="true" outlineLevel="0" collapsed="false">
      <c r="A165" s="8" t="s">
        <v>1126</v>
      </c>
      <c r="B165" s="8" t="s">
        <v>1127</v>
      </c>
      <c r="C165" s="8" t="s">
        <v>1098</v>
      </c>
      <c r="D165" s="8" t="s">
        <v>63</v>
      </c>
      <c r="E165" s="8" t="s">
        <v>1099</v>
      </c>
      <c r="F165" s="8" t="s">
        <v>184</v>
      </c>
      <c r="G165" s="8" t="s">
        <v>156</v>
      </c>
      <c r="H165" s="8" t="s">
        <v>1100</v>
      </c>
      <c r="I165" s="9" t="n">
        <v>2</v>
      </c>
      <c r="J165" s="8" t="s">
        <v>166</v>
      </c>
      <c r="K165" s="8" t="s">
        <v>1101</v>
      </c>
      <c r="L165" s="10"/>
      <c r="M165" s="8" t="s">
        <v>1128</v>
      </c>
      <c r="N165" s="8" t="s">
        <v>1103</v>
      </c>
      <c r="O165" s="8" t="s">
        <v>129</v>
      </c>
      <c r="P165" s="8" t="s">
        <v>1129</v>
      </c>
      <c r="Q165" s="9" t="s">
        <v>1126</v>
      </c>
      <c r="R165" s="8" t="s">
        <v>92</v>
      </c>
      <c r="S165" s="8" t="s">
        <v>131</v>
      </c>
      <c r="T165" s="11" t="s">
        <v>77</v>
      </c>
      <c r="U165" s="8" t="s">
        <v>78</v>
      </c>
      <c r="V165" s="8" t="s">
        <v>1105</v>
      </c>
      <c r="W165" s="8" t="n">
        <v>0</v>
      </c>
      <c r="X165" s="8" t="s">
        <v>1106</v>
      </c>
      <c r="Y165" s="8" t="s">
        <v>81</v>
      </c>
      <c r="Z165" s="8" t="s">
        <v>1107</v>
      </c>
      <c r="AA165" s="11"/>
      <c r="AB165" s="8"/>
    </row>
    <row r="166" customFormat="false" ht="23.25" hidden="false" customHeight="true" outlineLevel="0" collapsed="false">
      <c r="A166" s="8" t="s">
        <v>1130</v>
      </c>
      <c r="B166" s="8" t="s">
        <v>1131</v>
      </c>
      <c r="C166" s="8" t="s">
        <v>1132</v>
      </c>
      <c r="D166" s="8" t="s">
        <v>63</v>
      </c>
      <c r="E166" s="8" t="s">
        <v>1099</v>
      </c>
      <c r="F166" s="8" t="s">
        <v>360</v>
      </c>
      <c r="G166" s="8" t="s">
        <v>156</v>
      </c>
      <c r="H166" s="8" t="s">
        <v>1133</v>
      </c>
      <c r="I166" s="9" t="n">
        <v>2</v>
      </c>
      <c r="J166" s="8" t="s">
        <v>157</v>
      </c>
      <c r="K166" s="8" t="s">
        <v>1134</v>
      </c>
      <c r="L166" s="10"/>
      <c r="M166" s="8" t="s">
        <v>1135</v>
      </c>
      <c r="N166" s="8" t="s">
        <v>1136</v>
      </c>
      <c r="O166" s="8" t="s">
        <v>73</v>
      </c>
      <c r="P166" s="8"/>
      <c r="Q166" s="9" t="s">
        <v>1130</v>
      </c>
      <c r="R166" s="8" t="s">
        <v>75</v>
      </c>
      <c r="S166" s="8" t="s">
        <v>131</v>
      </c>
      <c r="T166" s="11" t="s">
        <v>77</v>
      </c>
      <c r="U166" s="8" t="s">
        <v>78</v>
      </c>
      <c r="V166" s="8" t="s">
        <v>1105</v>
      </c>
      <c r="W166" s="8" t="n">
        <v>0</v>
      </c>
      <c r="X166" s="8" t="s">
        <v>1106</v>
      </c>
      <c r="Y166" s="8" t="s">
        <v>81</v>
      </c>
      <c r="Z166" s="8" t="s">
        <v>1107</v>
      </c>
      <c r="AA166" s="11"/>
      <c r="AB166" s="8"/>
    </row>
    <row r="167" customFormat="false" ht="23.25" hidden="false" customHeight="true" outlineLevel="0" collapsed="false">
      <c r="A167" s="8" t="s">
        <v>1137</v>
      </c>
      <c r="B167" s="8" t="s">
        <v>1138</v>
      </c>
      <c r="C167" s="8" t="s">
        <v>1132</v>
      </c>
      <c r="D167" s="8" t="s">
        <v>63</v>
      </c>
      <c r="E167" s="8" t="s">
        <v>1099</v>
      </c>
      <c r="F167" s="8" t="s">
        <v>360</v>
      </c>
      <c r="G167" s="8" t="s">
        <v>156</v>
      </c>
      <c r="H167" s="8" t="s">
        <v>1133</v>
      </c>
      <c r="I167" s="9" t="n">
        <v>2</v>
      </c>
      <c r="J167" s="8" t="s">
        <v>142</v>
      </c>
      <c r="K167" s="8" t="s">
        <v>1134</v>
      </c>
      <c r="L167" s="10"/>
      <c r="M167" s="8" t="s">
        <v>1139</v>
      </c>
      <c r="N167" s="8" t="s">
        <v>1136</v>
      </c>
      <c r="O167" s="8" t="s">
        <v>73</v>
      </c>
      <c r="P167" s="8"/>
      <c r="Q167" s="9" t="s">
        <v>1137</v>
      </c>
      <c r="R167" s="8" t="s">
        <v>75</v>
      </c>
      <c r="S167" s="8" t="s">
        <v>131</v>
      </c>
      <c r="T167" s="11" t="s">
        <v>77</v>
      </c>
      <c r="U167" s="8" t="s">
        <v>78</v>
      </c>
      <c r="V167" s="8" t="s">
        <v>1105</v>
      </c>
      <c r="W167" s="8" t="n">
        <v>0</v>
      </c>
      <c r="X167" s="8" t="s">
        <v>1106</v>
      </c>
      <c r="Y167" s="8" t="s">
        <v>81</v>
      </c>
      <c r="Z167" s="8" t="s">
        <v>1107</v>
      </c>
      <c r="AA167" s="11"/>
      <c r="AB167" s="8"/>
    </row>
    <row r="168" customFormat="false" ht="23.25" hidden="false" customHeight="true" outlineLevel="0" collapsed="false">
      <c r="A168" s="8" t="s">
        <v>1140</v>
      </c>
      <c r="B168" s="8" t="s">
        <v>1141</v>
      </c>
      <c r="C168" s="8" t="s">
        <v>1098</v>
      </c>
      <c r="D168" s="8" t="s">
        <v>63</v>
      </c>
      <c r="E168" s="8" t="s">
        <v>1099</v>
      </c>
      <c r="F168" s="8" t="s">
        <v>360</v>
      </c>
      <c r="G168" s="8" t="s">
        <v>86</v>
      </c>
      <c r="H168" s="8" t="s">
        <v>1133</v>
      </c>
      <c r="I168" s="9" t="n">
        <v>2</v>
      </c>
      <c r="J168" s="8" t="s">
        <v>142</v>
      </c>
      <c r="K168" s="8" t="s">
        <v>1101</v>
      </c>
      <c r="L168" s="10"/>
      <c r="M168" s="8" t="s">
        <v>1142</v>
      </c>
      <c r="N168" s="8" t="s">
        <v>1143</v>
      </c>
      <c r="O168" s="8" t="s">
        <v>73</v>
      </c>
      <c r="P168" s="8"/>
      <c r="Q168" s="9" t="s">
        <v>1140</v>
      </c>
      <c r="R168" s="8" t="s">
        <v>103</v>
      </c>
      <c r="S168" s="8" t="s">
        <v>104</v>
      </c>
      <c r="T168" s="11" t="s">
        <v>77</v>
      </c>
      <c r="U168" s="8" t="s">
        <v>1144</v>
      </c>
      <c r="V168" s="8" t="s">
        <v>1105</v>
      </c>
      <c r="W168" s="8" t="n">
        <v>0</v>
      </c>
      <c r="X168" s="8" t="s">
        <v>1145</v>
      </c>
      <c r="Y168" s="8" t="s">
        <v>1146</v>
      </c>
      <c r="Z168" s="8" t="s">
        <v>1107</v>
      </c>
      <c r="AA168" s="11"/>
      <c r="AB168" s="8"/>
    </row>
    <row r="169" customFormat="false" ht="23.25" hidden="false" customHeight="true" outlineLevel="0" collapsed="false">
      <c r="A169" s="8" t="s">
        <v>1147</v>
      </c>
      <c r="B169" s="8" t="s">
        <v>1148</v>
      </c>
      <c r="C169" s="8" t="s">
        <v>1098</v>
      </c>
      <c r="D169" s="8" t="s">
        <v>63</v>
      </c>
      <c r="E169" s="8" t="s">
        <v>1099</v>
      </c>
      <c r="F169" s="8" t="s">
        <v>360</v>
      </c>
      <c r="G169" s="8" t="s">
        <v>156</v>
      </c>
      <c r="H169" s="8" t="s">
        <v>1133</v>
      </c>
      <c r="I169" s="9" t="n">
        <v>2</v>
      </c>
      <c r="J169" s="8" t="s">
        <v>142</v>
      </c>
      <c r="K169" s="8" t="s">
        <v>1101</v>
      </c>
      <c r="L169" s="10"/>
      <c r="M169" s="8" t="s">
        <v>1149</v>
      </c>
      <c r="N169" s="8" t="s">
        <v>1150</v>
      </c>
      <c r="O169" s="8" t="s">
        <v>102</v>
      </c>
      <c r="P169" s="8"/>
      <c r="Q169" s="9" t="s">
        <v>1147</v>
      </c>
      <c r="R169" s="8" t="s">
        <v>103</v>
      </c>
      <c r="S169" s="8" t="s">
        <v>104</v>
      </c>
      <c r="T169" s="11" t="s">
        <v>77</v>
      </c>
      <c r="U169" s="8" t="s">
        <v>78</v>
      </c>
      <c r="V169" s="8" t="s">
        <v>1105</v>
      </c>
      <c r="W169" s="8" t="n">
        <v>0</v>
      </c>
      <c r="X169" s="8" t="s">
        <v>1106</v>
      </c>
      <c r="Y169" s="8" t="s">
        <v>81</v>
      </c>
      <c r="Z169" s="8" t="s">
        <v>1107</v>
      </c>
      <c r="AA169" s="11"/>
      <c r="AB169" s="8"/>
    </row>
    <row r="170" customFormat="false" ht="15" hidden="false" customHeight="true" outlineLevel="0" collapsed="false">
      <c r="A170" s="8" t="s">
        <v>1151</v>
      </c>
      <c r="B170" s="8" t="s">
        <v>1152</v>
      </c>
      <c r="C170" s="8" t="s">
        <v>693</v>
      </c>
      <c r="D170" s="8" t="s">
        <v>63</v>
      </c>
      <c r="E170" s="8" t="s">
        <v>1153</v>
      </c>
      <c r="F170" s="8" t="s">
        <v>547</v>
      </c>
      <c r="G170" s="8" t="s">
        <v>156</v>
      </c>
      <c r="H170" s="8" t="s">
        <v>603</v>
      </c>
      <c r="I170" s="9" t="n">
        <v>1</v>
      </c>
      <c r="J170" s="8" t="s">
        <v>142</v>
      </c>
      <c r="K170" s="8" t="s">
        <v>231</v>
      </c>
      <c r="L170" s="10" t="s">
        <v>1154</v>
      </c>
      <c r="M170" s="8" t="s">
        <v>1155</v>
      </c>
      <c r="N170" s="8" t="s">
        <v>1156</v>
      </c>
      <c r="O170" s="8" t="s">
        <v>102</v>
      </c>
      <c r="P170" s="8"/>
      <c r="Q170" s="9" t="s">
        <v>1151</v>
      </c>
      <c r="R170" s="8" t="s">
        <v>103</v>
      </c>
      <c r="S170" s="8" t="s">
        <v>104</v>
      </c>
      <c r="T170" s="11" t="s">
        <v>77</v>
      </c>
      <c r="U170" s="8" t="s">
        <v>78</v>
      </c>
      <c r="V170" s="8" t="s">
        <v>1157</v>
      </c>
      <c r="W170" s="8" t="n">
        <v>2</v>
      </c>
      <c r="X170" s="8" t="s">
        <v>1158</v>
      </c>
      <c r="Y170" s="8" t="s">
        <v>1159</v>
      </c>
      <c r="Z170" s="8" t="s">
        <v>1160</v>
      </c>
      <c r="AA170" s="11"/>
      <c r="AB170" s="8"/>
    </row>
    <row r="171" customFormat="false" ht="23.25" hidden="false" customHeight="true" outlineLevel="0" collapsed="false">
      <c r="A171" s="8" t="s">
        <v>1161</v>
      </c>
      <c r="B171" s="8" t="s">
        <v>1162</v>
      </c>
      <c r="C171" s="8" t="s">
        <v>96</v>
      </c>
      <c r="D171" s="8" t="s">
        <v>63</v>
      </c>
      <c r="E171" s="8" t="s">
        <v>1153</v>
      </c>
      <c r="F171" s="8" t="s">
        <v>65</v>
      </c>
      <c r="G171" s="8" t="s">
        <v>86</v>
      </c>
      <c r="H171" s="8" t="s">
        <v>603</v>
      </c>
      <c r="I171" s="9" t="n">
        <v>1</v>
      </c>
      <c r="J171" s="8" t="s">
        <v>157</v>
      </c>
      <c r="K171" s="8" t="s">
        <v>604</v>
      </c>
      <c r="L171" s="10" t="s">
        <v>1163</v>
      </c>
      <c r="M171" s="8" t="s">
        <v>1164</v>
      </c>
      <c r="N171" s="8" t="s">
        <v>1165</v>
      </c>
      <c r="O171" s="8" t="s">
        <v>102</v>
      </c>
      <c r="P171" s="8"/>
      <c r="Q171" s="9" t="s">
        <v>1161</v>
      </c>
      <c r="R171" s="8" t="s">
        <v>103</v>
      </c>
      <c r="S171" s="8" t="s">
        <v>104</v>
      </c>
      <c r="T171" s="11" t="s">
        <v>77</v>
      </c>
      <c r="U171" s="8" t="s">
        <v>78</v>
      </c>
      <c r="V171" s="8" t="s">
        <v>1157</v>
      </c>
      <c r="W171" s="8" t="n">
        <v>2</v>
      </c>
      <c r="X171" s="8" t="s">
        <v>1158</v>
      </c>
      <c r="Y171" s="8" t="s">
        <v>1159</v>
      </c>
      <c r="Z171" s="8" t="s">
        <v>1160</v>
      </c>
      <c r="AA171" s="11"/>
      <c r="AB171" s="8"/>
    </row>
    <row r="172" customFormat="false" ht="23.25" hidden="false" customHeight="true" outlineLevel="0" collapsed="false">
      <c r="A172" s="8" t="s">
        <v>1166</v>
      </c>
      <c r="B172" s="8" t="s">
        <v>1167</v>
      </c>
      <c r="C172" s="8" t="s">
        <v>96</v>
      </c>
      <c r="D172" s="8" t="s">
        <v>63</v>
      </c>
      <c r="E172" s="8" t="s">
        <v>546</v>
      </c>
      <c r="F172" s="8" t="s">
        <v>547</v>
      </c>
      <c r="G172" s="8" t="s">
        <v>66</v>
      </c>
      <c r="H172" s="8" t="s">
        <v>603</v>
      </c>
      <c r="I172" s="9" t="n">
        <v>1</v>
      </c>
      <c r="J172" s="8" t="s">
        <v>230</v>
      </c>
      <c r="K172" s="8" t="s">
        <v>231</v>
      </c>
      <c r="L172" s="10" t="s">
        <v>1168</v>
      </c>
      <c r="M172" s="8" t="s">
        <v>1169</v>
      </c>
      <c r="N172" s="8" t="s">
        <v>1170</v>
      </c>
      <c r="O172" s="8" t="s">
        <v>102</v>
      </c>
      <c r="P172" s="8"/>
      <c r="Q172" s="9" t="s">
        <v>1166</v>
      </c>
      <c r="R172" s="8" t="s">
        <v>103</v>
      </c>
      <c r="S172" s="8" t="s">
        <v>104</v>
      </c>
      <c r="T172" s="11" t="s">
        <v>77</v>
      </c>
      <c r="U172" s="8" t="s">
        <v>551</v>
      </c>
      <c r="V172" s="8" t="s">
        <v>217</v>
      </c>
      <c r="W172" s="8" t="n">
        <v>2</v>
      </c>
      <c r="X172" s="8" t="s">
        <v>552</v>
      </c>
      <c r="Y172" s="8" t="s">
        <v>390</v>
      </c>
      <c r="Z172" s="8" t="s">
        <v>248</v>
      </c>
      <c r="AA172" s="11"/>
      <c r="AB172" s="8"/>
    </row>
    <row r="173" customFormat="false" ht="15" hidden="false" customHeight="true" outlineLevel="0" collapsed="false">
      <c r="A173" s="8" t="s">
        <v>1171</v>
      </c>
      <c r="B173" s="8" t="s">
        <v>1172</v>
      </c>
      <c r="C173" s="8" t="s">
        <v>1173</v>
      </c>
      <c r="D173" s="8" t="s">
        <v>63</v>
      </c>
      <c r="E173" s="8" t="s">
        <v>1153</v>
      </c>
      <c r="F173" s="8" t="s">
        <v>547</v>
      </c>
      <c r="G173" s="8" t="s">
        <v>156</v>
      </c>
      <c r="H173" s="8" t="s">
        <v>603</v>
      </c>
      <c r="I173" s="9" t="n">
        <v>1</v>
      </c>
      <c r="J173" s="8" t="s">
        <v>142</v>
      </c>
      <c r="K173" s="8" t="s">
        <v>231</v>
      </c>
      <c r="L173" s="10" t="s">
        <v>1174</v>
      </c>
      <c r="M173" s="8" t="s">
        <v>1175</v>
      </c>
      <c r="N173" s="8" t="s">
        <v>1176</v>
      </c>
      <c r="O173" s="8" t="s">
        <v>102</v>
      </c>
      <c r="P173" s="8"/>
      <c r="Q173" s="9" t="s">
        <v>1171</v>
      </c>
      <c r="R173" s="8" t="s">
        <v>103</v>
      </c>
      <c r="S173" s="8" t="s">
        <v>104</v>
      </c>
      <c r="T173" s="11" t="s">
        <v>77</v>
      </c>
      <c r="U173" s="8" t="s">
        <v>78</v>
      </c>
      <c r="V173" s="8" t="s">
        <v>1157</v>
      </c>
      <c r="W173" s="8" t="n">
        <v>2</v>
      </c>
      <c r="X173" s="8" t="s">
        <v>1158</v>
      </c>
      <c r="Y173" s="8" t="s">
        <v>1159</v>
      </c>
      <c r="Z173" s="8" t="s">
        <v>1160</v>
      </c>
      <c r="AA173" s="11"/>
      <c r="AB173" s="8"/>
    </row>
    <row r="174" customFormat="false" ht="15" hidden="false" customHeight="true" outlineLevel="0" collapsed="false">
      <c r="A174" s="8" t="s">
        <v>1177</v>
      </c>
      <c r="B174" s="8" t="s">
        <v>1178</v>
      </c>
      <c r="C174" s="8" t="s">
        <v>1179</v>
      </c>
      <c r="D174" s="8" t="s">
        <v>63</v>
      </c>
      <c r="E174" s="8" t="s">
        <v>1153</v>
      </c>
      <c r="F174" s="8" t="s">
        <v>547</v>
      </c>
      <c r="G174" s="8" t="s">
        <v>156</v>
      </c>
      <c r="H174" s="8" t="s">
        <v>603</v>
      </c>
      <c r="I174" s="9" t="n">
        <v>1</v>
      </c>
      <c r="J174" s="8" t="s">
        <v>142</v>
      </c>
      <c r="K174" s="8" t="s">
        <v>231</v>
      </c>
      <c r="L174" s="10" t="s">
        <v>1180</v>
      </c>
      <c r="M174" s="8" t="s">
        <v>1181</v>
      </c>
      <c r="N174" s="8" t="s">
        <v>1182</v>
      </c>
      <c r="O174" s="8" t="s">
        <v>102</v>
      </c>
      <c r="P174" s="8"/>
      <c r="Q174" s="9" t="s">
        <v>1177</v>
      </c>
      <c r="R174" s="8" t="s">
        <v>103</v>
      </c>
      <c r="S174" s="8" t="s">
        <v>104</v>
      </c>
      <c r="T174" s="11" t="s">
        <v>77</v>
      </c>
      <c r="U174" s="8" t="s">
        <v>78</v>
      </c>
      <c r="V174" s="8" t="s">
        <v>1157</v>
      </c>
      <c r="W174" s="8" t="n">
        <v>2</v>
      </c>
      <c r="X174" s="8" t="s">
        <v>1158</v>
      </c>
      <c r="Y174" s="8" t="s">
        <v>1159</v>
      </c>
      <c r="Z174" s="8" t="s">
        <v>1160</v>
      </c>
      <c r="AA174" s="11"/>
      <c r="AB174" s="8"/>
    </row>
    <row r="175" customFormat="false" ht="23.25" hidden="false" customHeight="true" outlineLevel="0" collapsed="false">
      <c r="A175" s="8" t="s">
        <v>1183</v>
      </c>
      <c r="B175" s="8" t="s">
        <v>1184</v>
      </c>
      <c r="C175" s="8" t="s">
        <v>1185</v>
      </c>
      <c r="D175" s="8" t="s">
        <v>63</v>
      </c>
      <c r="E175" s="8" t="s">
        <v>359</v>
      </c>
      <c r="F175" s="8" t="s">
        <v>360</v>
      </c>
      <c r="G175" s="8" t="s">
        <v>86</v>
      </c>
      <c r="H175" s="8" t="s">
        <v>603</v>
      </c>
      <c r="I175" s="9" t="n">
        <v>1</v>
      </c>
      <c r="J175" s="8" t="s">
        <v>157</v>
      </c>
      <c r="K175" s="8" t="s">
        <v>69</v>
      </c>
      <c r="L175" s="10" t="s">
        <v>1186</v>
      </c>
      <c r="M175" s="8" t="s">
        <v>1187</v>
      </c>
      <c r="N175" s="8" t="s">
        <v>1188</v>
      </c>
      <c r="O175" s="8" t="s">
        <v>102</v>
      </c>
      <c r="P175" s="8"/>
      <c r="Q175" s="9" t="s">
        <v>1183</v>
      </c>
      <c r="R175" s="8" t="s">
        <v>103</v>
      </c>
      <c r="S175" s="8" t="s">
        <v>104</v>
      </c>
      <c r="T175" s="11" t="s">
        <v>77</v>
      </c>
      <c r="U175" s="8" t="s">
        <v>365</v>
      </c>
      <c r="V175" s="8" t="s">
        <v>79</v>
      </c>
      <c r="W175" s="8" t="n">
        <v>2</v>
      </c>
      <c r="X175" s="8" t="s">
        <v>366</v>
      </c>
      <c r="Y175" s="8" t="s">
        <v>367</v>
      </c>
      <c r="Z175" s="8" t="s">
        <v>368</v>
      </c>
      <c r="AA175" s="11"/>
      <c r="AB175" s="8"/>
    </row>
    <row r="176" customFormat="false" ht="23.25" hidden="false" customHeight="true" outlineLevel="0" collapsed="false">
      <c r="A176" s="8" t="s">
        <v>1189</v>
      </c>
      <c r="B176" s="8" t="s">
        <v>1190</v>
      </c>
      <c r="C176" s="8" t="s">
        <v>865</v>
      </c>
      <c r="D176" s="8" t="s">
        <v>164</v>
      </c>
      <c r="E176" s="8" t="s">
        <v>359</v>
      </c>
      <c r="F176" s="8" t="s">
        <v>184</v>
      </c>
      <c r="G176" s="8" t="s">
        <v>86</v>
      </c>
      <c r="H176" s="8" t="s">
        <v>603</v>
      </c>
      <c r="I176" s="9" t="n">
        <v>1</v>
      </c>
      <c r="J176" s="8" t="s">
        <v>361</v>
      </c>
      <c r="K176" s="8" t="s">
        <v>231</v>
      </c>
      <c r="L176" s="10" t="s">
        <v>1191</v>
      </c>
      <c r="M176" s="8" t="s">
        <v>1192</v>
      </c>
      <c r="N176" s="8" t="s">
        <v>1193</v>
      </c>
      <c r="O176" s="8" t="s">
        <v>102</v>
      </c>
      <c r="P176" s="8"/>
      <c r="Q176" s="9" t="s">
        <v>1189</v>
      </c>
      <c r="R176" s="8" t="s">
        <v>103</v>
      </c>
      <c r="S176" s="8" t="s">
        <v>104</v>
      </c>
      <c r="T176" s="11" t="s">
        <v>77</v>
      </c>
      <c r="U176" s="8" t="s">
        <v>365</v>
      </c>
      <c r="V176" s="8" t="s">
        <v>217</v>
      </c>
      <c r="W176" s="8" t="n">
        <v>2</v>
      </c>
      <c r="X176" s="8" t="s">
        <v>366</v>
      </c>
      <c r="Y176" s="8" t="s">
        <v>367</v>
      </c>
      <c r="Z176" s="8" t="s">
        <v>368</v>
      </c>
      <c r="AA176" s="11"/>
      <c r="AB176" s="8"/>
    </row>
    <row r="177" customFormat="false" ht="23.25" hidden="false" customHeight="true" outlineLevel="0" collapsed="false">
      <c r="A177" s="8" t="s">
        <v>1194</v>
      </c>
      <c r="B177" s="8" t="s">
        <v>1195</v>
      </c>
      <c r="C177" s="8" t="s">
        <v>1196</v>
      </c>
      <c r="D177" s="8" t="s">
        <v>184</v>
      </c>
      <c r="E177" s="8" t="s">
        <v>408</v>
      </c>
      <c r="F177" s="8" t="s">
        <v>184</v>
      </c>
      <c r="G177" s="8" t="s">
        <v>156</v>
      </c>
      <c r="H177" s="8" t="s">
        <v>311</v>
      </c>
      <c r="I177" s="9" t="n">
        <v>2</v>
      </c>
      <c r="J177" s="8" t="s">
        <v>142</v>
      </c>
      <c r="K177" s="8" t="s">
        <v>231</v>
      </c>
      <c r="L177" s="10"/>
      <c r="M177" s="8" t="s">
        <v>1197</v>
      </c>
      <c r="N177" s="8" t="s">
        <v>1198</v>
      </c>
      <c r="O177" s="8" t="s">
        <v>73</v>
      </c>
      <c r="P177" s="8"/>
      <c r="Q177" s="9" t="s">
        <v>1194</v>
      </c>
      <c r="R177" s="8" t="s">
        <v>75</v>
      </c>
      <c r="S177" s="8" t="s">
        <v>131</v>
      </c>
      <c r="T177" s="11" t="s">
        <v>77</v>
      </c>
      <c r="U177" s="8" t="s">
        <v>190</v>
      </c>
      <c r="V177" s="8" t="s">
        <v>132</v>
      </c>
      <c r="W177" s="8" t="n">
        <v>1</v>
      </c>
      <c r="X177" s="8" t="s">
        <v>191</v>
      </c>
      <c r="Y177" s="8" t="s">
        <v>192</v>
      </c>
      <c r="Z177" s="8" t="s">
        <v>193</v>
      </c>
      <c r="AA177" s="11"/>
      <c r="AB177" s="8"/>
    </row>
    <row r="178" customFormat="false" ht="23.25" hidden="false" customHeight="true" outlineLevel="0" collapsed="false">
      <c r="A178" s="8" t="s">
        <v>1199</v>
      </c>
      <c r="B178" s="8" t="s">
        <v>1200</v>
      </c>
      <c r="C178" s="8" t="s">
        <v>1201</v>
      </c>
      <c r="D178" s="8" t="s">
        <v>63</v>
      </c>
      <c r="E178" s="8" t="s">
        <v>148</v>
      </c>
      <c r="F178" s="8" t="s">
        <v>149</v>
      </c>
      <c r="G178" s="8" t="s">
        <v>86</v>
      </c>
      <c r="H178" s="8" t="s">
        <v>1202</v>
      </c>
      <c r="I178" s="9" t="n">
        <v>2</v>
      </c>
      <c r="J178" s="8" t="s">
        <v>142</v>
      </c>
      <c r="K178" s="8" t="s">
        <v>231</v>
      </c>
      <c r="L178" s="10" t="s">
        <v>1203</v>
      </c>
      <c r="M178" s="8" t="s">
        <v>1204</v>
      </c>
      <c r="N178" s="8" t="s">
        <v>1205</v>
      </c>
      <c r="O178" s="8" t="s">
        <v>102</v>
      </c>
      <c r="P178" s="8"/>
      <c r="Q178" s="9" t="s">
        <v>1199</v>
      </c>
      <c r="R178" s="8" t="s">
        <v>103</v>
      </c>
      <c r="S178" s="8" t="s">
        <v>104</v>
      </c>
      <c r="T178" s="11" t="s">
        <v>77</v>
      </c>
      <c r="U178" s="8" t="s">
        <v>78</v>
      </c>
      <c r="V178" s="8" t="s">
        <v>79</v>
      </c>
      <c r="W178" s="8" t="n">
        <v>2</v>
      </c>
      <c r="X178" s="8" t="s">
        <v>80</v>
      </c>
      <c r="Y178" s="8" t="s">
        <v>81</v>
      </c>
      <c r="Z178" s="8" t="s">
        <v>82</v>
      </c>
      <c r="AA178" s="11"/>
      <c r="AB178" s="8"/>
    </row>
    <row r="179" customFormat="false" ht="23.25" hidden="false" customHeight="true" outlineLevel="0" collapsed="false">
      <c r="A179" s="8" t="s">
        <v>1206</v>
      </c>
      <c r="B179" s="8" t="s">
        <v>1207</v>
      </c>
      <c r="C179" s="8" t="s">
        <v>1208</v>
      </c>
      <c r="D179" s="8" t="s">
        <v>63</v>
      </c>
      <c r="E179" s="8" t="s">
        <v>148</v>
      </c>
      <c r="F179" s="8" t="s">
        <v>149</v>
      </c>
      <c r="G179" s="8" t="s">
        <v>86</v>
      </c>
      <c r="H179" s="8" t="s">
        <v>1202</v>
      </c>
      <c r="I179" s="9" t="n">
        <v>2</v>
      </c>
      <c r="J179" s="8" t="s">
        <v>142</v>
      </c>
      <c r="K179" s="8" t="s">
        <v>231</v>
      </c>
      <c r="L179" s="10" t="s">
        <v>1209</v>
      </c>
      <c r="M179" s="8" t="s">
        <v>1210</v>
      </c>
      <c r="N179" s="8" t="s">
        <v>1211</v>
      </c>
      <c r="O179" s="8" t="s">
        <v>102</v>
      </c>
      <c r="P179" s="8"/>
      <c r="Q179" s="9" t="s">
        <v>1206</v>
      </c>
      <c r="R179" s="8" t="s">
        <v>103</v>
      </c>
      <c r="S179" s="8" t="s">
        <v>104</v>
      </c>
      <c r="T179" s="11" t="s">
        <v>77</v>
      </c>
      <c r="U179" s="8" t="s">
        <v>78</v>
      </c>
      <c r="V179" s="8" t="s">
        <v>79</v>
      </c>
      <c r="W179" s="8" t="n">
        <v>2</v>
      </c>
      <c r="X179" s="8" t="s">
        <v>80</v>
      </c>
      <c r="Y179" s="8" t="s">
        <v>81</v>
      </c>
      <c r="Z179" s="8" t="s">
        <v>82</v>
      </c>
      <c r="AA179" s="11"/>
      <c r="AB179" s="8"/>
    </row>
    <row r="180" customFormat="false" ht="23.25" hidden="false" customHeight="true" outlineLevel="0" collapsed="false">
      <c r="A180" s="8" t="s">
        <v>1212</v>
      </c>
      <c r="B180" s="8" t="s">
        <v>1213</v>
      </c>
      <c r="C180" s="8" t="s">
        <v>1214</v>
      </c>
      <c r="D180" s="8" t="s">
        <v>63</v>
      </c>
      <c r="E180" s="8" t="s">
        <v>359</v>
      </c>
      <c r="F180" s="8" t="s">
        <v>149</v>
      </c>
      <c r="G180" s="8" t="s">
        <v>86</v>
      </c>
      <c r="H180" s="8" t="s">
        <v>603</v>
      </c>
      <c r="I180" s="9" t="n">
        <v>1</v>
      </c>
      <c r="J180" s="8" t="s">
        <v>361</v>
      </c>
      <c r="K180" s="8" t="s">
        <v>231</v>
      </c>
      <c r="L180" s="10" t="s">
        <v>1215</v>
      </c>
      <c r="M180" s="8" t="s">
        <v>1216</v>
      </c>
      <c r="N180" s="8" t="s">
        <v>1217</v>
      </c>
      <c r="O180" s="8" t="s">
        <v>102</v>
      </c>
      <c r="P180" s="8"/>
      <c r="Q180" s="9" t="s">
        <v>1212</v>
      </c>
      <c r="R180" s="8" t="s">
        <v>103</v>
      </c>
      <c r="S180" s="8" t="s">
        <v>215</v>
      </c>
      <c r="T180" s="11" t="s">
        <v>77</v>
      </c>
      <c r="U180" s="8" t="s">
        <v>365</v>
      </c>
      <c r="V180" s="8" t="s">
        <v>217</v>
      </c>
      <c r="W180" s="8" t="n">
        <v>2</v>
      </c>
      <c r="X180" s="8" t="s">
        <v>366</v>
      </c>
      <c r="Y180" s="8" t="s">
        <v>367</v>
      </c>
      <c r="Z180" s="8" t="s">
        <v>368</v>
      </c>
      <c r="AA180" s="11"/>
      <c r="AB180" s="8"/>
    </row>
    <row r="181" customFormat="false" ht="23.25" hidden="false" customHeight="true" outlineLevel="0" collapsed="false">
      <c r="A181" s="8" t="s">
        <v>1218</v>
      </c>
      <c r="B181" s="8" t="s">
        <v>1219</v>
      </c>
      <c r="C181" s="8" t="s">
        <v>520</v>
      </c>
      <c r="D181" s="8" t="s">
        <v>63</v>
      </c>
      <c r="E181" s="8" t="s">
        <v>359</v>
      </c>
      <c r="F181" s="8" t="s">
        <v>149</v>
      </c>
      <c r="G181" s="8" t="s">
        <v>86</v>
      </c>
      <c r="H181" s="8" t="s">
        <v>603</v>
      </c>
      <c r="I181" s="9" t="n">
        <v>1</v>
      </c>
      <c r="J181" s="8" t="s">
        <v>361</v>
      </c>
      <c r="K181" s="8" t="s">
        <v>231</v>
      </c>
      <c r="L181" s="10" t="s">
        <v>1220</v>
      </c>
      <c r="M181" s="8" t="s">
        <v>1221</v>
      </c>
      <c r="N181" s="8" t="s">
        <v>659</v>
      </c>
      <c r="O181" s="8" t="s">
        <v>102</v>
      </c>
      <c r="P181" s="8"/>
      <c r="Q181" s="9" t="s">
        <v>1218</v>
      </c>
      <c r="R181" s="8" t="s">
        <v>103</v>
      </c>
      <c r="S181" s="8" t="s">
        <v>215</v>
      </c>
      <c r="T181" s="11" t="s">
        <v>77</v>
      </c>
      <c r="U181" s="8" t="s">
        <v>365</v>
      </c>
      <c r="V181" s="8" t="s">
        <v>217</v>
      </c>
      <c r="W181" s="8" t="n">
        <v>2</v>
      </c>
      <c r="X181" s="8" t="s">
        <v>366</v>
      </c>
      <c r="Y181" s="8" t="s">
        <v>367</v>
      </c>
      <c r="Z181" s="8" t="s">
        <v>368</v>
      </c>
      <c r="AA181" s="11"/>
      <c r="AB181" s="8"/>
    </row>
    <row r="182" customFormat="false" ht="23.25" hidden="false" customHeight="true" outlineLevel="0" collapsed="false">
      <c r="A182" s="8" t="s">
        <v>1222</v>
      </c>
      <c r="B182" s="8" t="s">
        <v>1223</v>
      </c>
      <c r="C182" s="8" t="s">
        <v>1224</v>
      </c>
      <c r="D182" s="8" t="s">
        <v>63</v>
      </c>
      <c r="E182" s="8" t="s">
        <v>148</v>
      </c>
      <c r="F182" s="8" t="s">
        <v>149</v>
      </c>
      <c r="G182" s="8" t="s">
        <v>86</v>
      </c>
      <c r="H182" s="8" t="s">
        <v>1225</v>
      </c>
      <c r="I182" s="9" t="n">
        <v>2</v>
      </c>
      <c r="J182" s="8" t="s">
        <v>157</v>
      </c>
      <c r="K182" s="8" t="s">
        <v>1226</v>
      </c>
      <c r="L182" s="10" t="s">
        <v>1227</v>
      </c>
      <c r="M182" s="8" t="s">
        <v>1228</v>
      </c>
      <c r="N182" s="8" t="s">
        <v>1229</v>
      </c>
      <c r="O182" s="8" t="s">
        <v>73</v>
      </c>
      <c r="P182" s="8"/>
      <c r="Q182" s="9" t="s">
        <v>1222</v>
      </c>
      <c r="R182" s="8" t="s">
        <v>75</v>
      </c>
      <c r="S182" s="8" t="s">
        <v>104</v>
      </c>
      <c r="T182" s="11" t="s">
        <v>77</v>
      </c>
      <c r="U182" s="8" t="s">
        <v>78</v>
      </c>
      <c r="V182" s="8" t="s">
        <v>79</v>
      </c>
      <c r="W182" s="8" t="n">
        <v>2</v>
      </c>
      <c r="X182" s="8" t="s">
        <v>80</v>
      </c>
      <c r="Y182" s="8" t="s">
        <v>81</v>
      </c>
      <c r="Z182" s="8" t="s">
        <v>82</v>
      </c>
      <c r="AA182" s="11"/>
      <c r="AB182" s="8"/>
    </row>
    <row r="183" customFormat="false" ht="23.25" hidden="false" customHeight="true" outlineLevel="0" collapsed="false">
      <c r="A183" s="8" t="s">
        <v>1230</v>
      </c>
      <c r="B183" s="8" t="s">
        <v>1231</v>
      </c>
      <c r="C183" s="8" t="s">
        <v>1232</v>
      </c>
      <c r="D183" s="8" t="s">
        <v>63</v>
      </c>
      <c r="E183" s="8" t="s">
        <v>546</v>
      </c>
      <c r="F183" s="8" t="s">
        <v>547</v>
      </c>
      <c r="G183" s="8" t="s">
        <v>86</v>
      </c>
      <c r="H183" s="8" t="s">
        <v>1233</v>
      </c>
      <c r="I183" s="9" t="n">
        <v>2</v>
      </c>
      <c r="J183" s="8" t="s">
        <v>1234</v>
      </c>
      <c r="K183" s="8" t="s">
        <v>231</v>
      </c>
      <c r="L183" s="10" t="s">
        <v>1235</v>
      </c>
      <c r="M183" s="8" t="s">
        <v>1236</v>
      </c>
      <c r="N183" s="8" t="s">
        <v>1237</v>
      </c>
      <c r="O183" s="8" t="s">
        <v>73</v>
      </c>
      <c r="P183" s="8"/>
      <c r="Q183" s="9" t="s">
        <v>1230</v>
      </c>
      <c r="R183" s="8" t="s">
        <v>75</v>
      </c>
      <c r="S183" s="8" t="s">
        <v>104</v>
      </c>
      <c r="T183" s="11" t="s">
        <v>77</v>
      </c>
      <c r="U183" s="8" t="s">
        <v>551</v>
      </c>
      <c r="V183" s="8" t="s">
        <v>79</v>
      </c>
      <c r="W183" s="8" t="n">
        <v>2</v>
      </c>
      <c r="X183" s="8" t="s">
        <v>552</v>
      </c>
      <c r="Y183" s="8" t="s">
        <v>390</v>
      </c>
      <c r="Z183" s="8" t="s">
        <v>248</v>
      </c>
      <c r="AA183" s="11"/>
      <c r="AB183" s="8"/>
    </row>
    <row r="184" customFormat="false" ht="23.25" hidden="false" customHeight="true" outlineLevel="0" collapsed="false">
      <c r="A184" s="8" t="s">
        <v>1238</v>
      </c>
      <c r="B184" s="8" t="s">
        <v>1239</v>
      </c>
      <c r="C184" s="8" t="s">
        <v>1240</v>
      </c>
      <c r="D184" s="8" t="s">
        <v>63</v>
      </c>
      <c r="E184" s="8" t="s">
        <v>546</v>
      </c>
      <c r="F184" s="8" t="s">
        <v>547</v>
      </c>
      <c r="G184" s="8" t="s">
        <v>156</v>
      </c>
      <c r="H184" s="8" t="s">
        <v>603</v>
      </c>
      <c r="I184" s="9" t="n">
        <v>1</v>
      </c>
      <c r="J184" s="8" t="s">
        <v>157</v>
      </c>
      <c r="K184" s="8" t="s">
        <v>69</v>
      </c>
      <c r="L184" s="10" t="s">
        <v>1241</v>
      </c>
      <c r="M184" s="8" t="s">
        <v>1242</v>
      </c>
      <c r="N184" s="8" t="s">
        <v>1243</v>
      </c>
      <c r="O184" s="8" t="s">
        <v>102</v>
      </c>
      <c r="P184" s="8"/>
      <c r="Q184" s="9" t="s">
        <v>1238</v>
      </c>
      <c r="R184" s="8" t="s">
        <v>103</v>
      </c>
      <c r="S184" s="8" t="s">
        <v>76</v>
      </c>
      <c r="T184" s="11" t="s">
        <v>77</v>
      </c>
      <c r="U184" s="8" t="s">
        <v>551</v>
      </c>
      <c r="V184" s="8" t="s">
        <v>79</v>
      </c>
      <c r="W184" s="8" t="n">
        <v>2</v>
      </c>
      <c r="X184" s="8" t="s">
        <v>552</v>
      </c>
      <c r="Y184" s="8" t="s">
        <v>390</v>
      </c>
      <c r="Z184" s="8" t="s">
        <v>248</v>
      </c>
      <c r="AA184" s="11"/>
      <c r="AB184" s="8"/>
    </row>
    <row r="185" customFormat="false" ht="23.25" hidden="false" customHeight="true" outlineLevel="0" collapsed="false">
      <c r="A185" s="8" t="s">
        <v>1244</v>
      </c>
      <c r="B185" s="8" t="s">
        <v>1245</v>
      </c>
      <c r="C185" s="8" t="s">
        <v>1246</v>
      </c>
      <c r="D185" s="8" t="s">
        <v>184</v>
      </c>
      <c r="E185" s="8" t="s">
        <v>185</v>
      </c>
      <c r="F185" s="8" t="s">
        <v>184</v>
      </c>
      <c r="G185" s="8" t="s">
        <v>86</v>
      </c>
      <c r="H185" s="8" t="s">
        <v>1247</v>
      </c>
      <c r="I185" s="9" t="n">
        <v>2</v>
      </c>
      <c r="J185" s="8" t="s">
        <v>166</v>
      </c>
      <c r="K185" s="8" t="s">
        <v>1248</v>
      </c>
      <c r="L185" s="10" t="s">
        <v>1249</v>
      </c>
      <c r="M185" s="8" t="s">
        <v>1250</v>
      </c>
      <c r="N185" s="8" t="s">
        <v>1251</v>
      </c>
      <c r="O185" s="8" t="s">
        <v>102</v>
      </c>
      <c r="P185" s="8"/>
      <c r="Q185" s="9" t="s">
        <v>1244</v>
      </c>
      <c r="R185" s="8" t="s">
        <v>103</v>
      </c>
      <c r="S185" s="8" t="s">
        <v>104</v>
      </c>
      <c r="T185" s="11" t="s">
        <v>77</v>
      </c>
      <c r="U185" s="8" t="s">
        <v>190</v>
      </c>
      <c r="V185" s="8" t="s">
        <v>79</v>
      </c>
      <c r="W185" s="8" t="n">
        <v>2</v>
      </c>
      <c r="X185" s="8" t="s">
        <v>191</v>
      </c>
      <c r="Y185" s="8" t="s">
        <v>192</v>
      </c>
      <c r="Z185" s="8" t="s">
        <v>193</v>
      </c>
      <c r="AA185" s="11"/>
      <c r="AB185" s="8"/>
    </row>
    <row r="186" customFormat="false" ht="23.25" hidden="false" customHeight="true" outlineLevel="0" collapsed="false">
      <c r="A186" s="8" t="s">
        <v>1252</v>
      </c>
      <c r="B186" s="8" t="s">
        <v>1253</v>
      </c>
      <c r="C186" s="8" t="s">
        <v>1254</v>
      </c>
      <c r="D186" s="8" t="s">
        <v>164</v>
      </c>
      <c r="E186" s="8" t="s">
        <v>165</v>
      </c>
      <c r="F186" s="8" t="s">
        <v>184</v>
      </c>
      <c r="G186" s="8" t="s">
        <v>66</v>
      </c>
      <c r="H186" s="8" t="s">
        <v>1233</v>
      </c>
      <c r="I186" s="9" t="n">
        <v>2</v>
      </c>
      <c r="J186" s="8" t="s">
        <v>68</v>
      </c>
      <c r="K186" s="8" t="s">
        <v>1255</v>
      </c>
      <c r="L186" s="10" t="s">
        <v>1256</v>
      </c>
      <c r="M186" s="8" t="s">
        <v>1257</v>
      </c>
      <c r="N186" s="8" t="s">
        <v>1258</v>
      </c>
      <c r="O186" s="8" t="s">
        <v>102</v>
      </c>
      <c r="P186" s="8"/>
      <c r="Q186" s="9" t="s">
        <v>1252</v>
      </c>
      <c r="R186" s="8" t="s">
        <v>103</v>
      </c>
      <c r="S186" s="8" t="s">
        <v>215</v>
      </c>
      <c r="T186" s="11" t="s">
        <v>77</v>
      </c>
      <c r="U186" s="8" t="s">
        <v>171</v>
      </c>
      <c r="V186" s="8" t="s">
        <v>79</v>
      </c>
      <c r="W186" s="8" t="n">
        <v>2</v>
      </c>
      <c r="X186" s="8" t="s">
        <v>172</v>
      </c>
      <c r="Y186" s="8" t="s">
        <v>173</v>
      </c>
      <c r="Z186" s="8" t="s">
        <v>82</v>
      </c>
      <c r="AA186" s="11"/>
      <c r="AB186" s="8"/>
    </row>
    <row r="187" customFormat="false" ht="23.25" hidden="false" customHeight="true" outlineLevel="0" collapsed="false">
      <c r="A187" s="8" t="s">
        <v>1259</v>
      </c>
      <c r="B187" s="8" t="s">
        <v>1260</v>
      </c>
      <c r="C187" s="8" t="s">
        <v>1261</v>
      </c>
      <c r="D187" s="8" t="s">
        <v>63</v>
      </c>
      <c r="E187" s="8" t="s">
        <v>148</v>
      </c>
      <c r="F187" s="8" t="s">
        <v>176</v>
      </c>
      <c r="G187" s="8" t="s">
        <v>86</v>
      </c>
      <c r="H187" s="8" t="s">
        <v>1262</v>
      </c>
      <c r="I187" s="9" t="n">
        <v>2</v>
      </c>
      <c r="J187" s="8" t="s">
        <v>142</v>
      </c>
      <c r="K187" s="8" t="s">
        <v>828</v>
      </c>
      <c r="L187" s="10" t="s">
        <v>1263</v>
      </c>
      <c r="M187" s="8" t="s">
        <v>1264</v>
      </c>
      <c r="N187" s="8" t="s">
        <v>1265</v>
      </c>
      <c r="O187" s="8" t="s">
        <v>102</v>
      </c>
      <c r="P187" s="8"/>
      <c r="Q187" s="9" t="s">
        <v>1259</v>
      </c>
      <c r="R187" s="8" t="s">
        <v>103</v>
      </c>
      <c r="S187" s="8" t="s">
        <v>76</v>
      </c>
      <c r="T187" s="11" t="s">
        <v>77</v>
      </c>
      <c r="U187" s="8" t="s">
        <v>78</v>
      </c>
      <c r="V187" s="8" t="s">
        <v>79</v>
      </c>
      <c r="W187" s="8" t="n">
        <v>2</v>
      </c>
      <c r="X187" s="8" t="s">
        <v>80</v>
      </c>
      <c r="Y187" s="8" t="s">
        <v>81</v>
      </c>
      <c r="Z187" s="8" t="s">
        <v>82</v>
      </c>
      <c r="AA187" s="11"/>
      <c r="AB187" s="8"/>
    </row>
    <row r="188" customFormat="false" ht="23.25" hidden="false" customHeight="true" outlineLevel="0" collapsed="false">
      <c r="A188" s="8" t="s">
        <v>1266</v>
      </c>
      <c r="B188" s="8" t="s">
        <v>1267</v>
      </c>
      <c r="C188" s="8" t="s">
        <v>1268</v>
      </c>
      <c r="D188" s="8" t="s">
        <v>107</v>
      </c>
      <c r="E188" s="8" t="s">
        <v>64</v>
      </c>
      <c r="F188" s="8" t="s">
        <v>65</v>
      </c>
      <c r="G188" s="8" t="s">
        <v>66</v>
      </c>
      <c r="H188" s="8" t="s">
        <v>1225</v>
      </c>
      <c r="I188" s="9" t="n">
        <v>2</v>
      </c>
      <c r="J188" s="8" t="s">
        <v>539</v>
      </c>
      <c r="K188" s="8" t="s">
        <v>231</v>
      </c>
      <c r="L188" s="10" t="s">
        <v>1269</v>
      </c>
      <c r="M188" s="8" t="s">
        <v>1270</v>
      </c>
      <c r="N188" s="8" t="s">
        <v>1271</v>
      </c>
      <c r="O188" s="8" t="s">
        <v>102</v>
      </c>
      <c r="P188" s="8"/>
      <c r="Q188" s="9" t="s">
        <v>1266</v>
      </c>
      <c r="R188" s="8" t="s">
        <v>103</v>
      </c>
      <c r="S188" s="8" t="s">
        <v>104</v>
      </c>
      <c r="T188" s="11" t="s">
        <v>77</v>
      </c>
      <c r="U188" s="8" t="s">
        <v>279</v>
      </c>
      <c r="V188" s="8" t="s">
        <v>217</v>
      </c>
      <c r="W188" s="8" t="n">
        <v>2</v>
      </c>
      <c r="X188" s="8" t="s">
        <v>280</v>
      </c>
      <c r="Y188" s="8" t="s">
        <v>219</v>
      </c>
      <c r="Z188" s="8" t="s">
        <v>281</v>
      </c>
      <c r="AA188" s="11"/>
      <c r="AB188" s="8"/>
    </row>
    <row r="189" customFormat="false" ht="23.25" hidden="false" customHeight="true" outlineLevel="0" collapsed="false">
      <c r="A189" s="8" t="s">
        <v>1272</v>
      </c>
      <c r="B189" s="8" t="s">
        <v>1273</v>
      </c>
      <c r="C189" s="8" t="s">
        <v>1274</v>
      </c>
      <c r="D189" s="8" t="s">
        <v>63</v>
      </c>
      <c r="E189" s="8" t="s">
        <v>346</v>
      </c>
      <c r="F189" s="8" t="s">
        <v>346</v>
      </c>
      <c r="G189" s="8" t="s">
        <v>86</v>
      </c>
      <c r="H189" s="8" t="s">
        <v>1202</v>
      </c>
      <c r="I189" s="9" t="n">
        <v>3</v>
      </c>
      <c r="J189" s="8" t="s">
        <v>157</v>
      </c>
      <c r="K189" s="8" t="s">
        <v>231</v>
      </c>
      <c r="L189" s="10" t="s">
        <v>1275</v>
      </c>
      <c r="M189" s="8" t="s">
        <v>1276</v>
      </c>
      <c r="N189" s="8" t="s">
        <v>1277</v>
      </c>
      <c r="O189" s="8" t="s">
        <v>102</v>
      </c>
      <c r="P189" s="8"/>
      <c r="Q189" s="9" t="s">
        <v>1272</v>
      </c>
      <c r="R189" s="8" t="s">
        <v>103</v>
      </c>
      <c r="S189" s="8" t="s">
        <v>104</v>
      </c>
      <c r="T189" s="11" t="s">
        <v>77</v>
      </c>
      <c r="U189" s="8" t="s">
        <v>584</v>
      </c>
      <c r="V189" s="8" t="s">
        <v>79</v>
      </c>
      <c r="W189" s="8" t="n">
        <v>2</v>
      </c>
      <c r="X189" s="8" t="s">
        <v>585</v>
      </c>
      <c r="Y189" s="8" t="s">
        <v>586</v>
      </c>
      <c r="Z189" s="8" t="s">
        <v>587</v>
      </c>
      <c r="AA189" s="11"/>
      <c r="AB189" s="8"/>
    </row>
  </sheetData>
  <autoFilter ref="A1:AB189"/>
  <dataValidations count="11">
    <dataValidation allowBlank="true" errorStyle="stop" operator="between" showDropDown="false" showErrorMessage="false" showInputMessage="false" sqref="F2:F300" type="list">
      <formula1>"Global Affluence,Geopolitics,Human Health,Climate Volatility,Technology,Ownership,Cross-driver,Core S&amp;D (baseline)"</formula1>
      <formula2>0</formula2>
    </dataValidation>
    <dataValidation allowBlank="true" errorStyle="stop" operator="between" showDropDown="false" showErrorMessage="false" showInputMessage="false" sqref="G2:G300" type="list">
      <formula1>"Near-term (1-2 seasons),Long-term (3-10 yrs),Both"</formula1>
      <formula2>0</formula2>
    </dataValidation>
    <dataValidation allowBlank="true" errorStyle="stop" operator="between" showDropDown="false" showErrorMessage="false" showInputMessage="false" sqref="I2:I300" type="list">
      <formula1>"1,2,3"</formula1>
      <formula2>0</formula2>
    </dataValidation>
    <dataValidation allowBlank="true" errorStyle="stop" operator="between" showDropDown="false" showErrorMessage="false" showInputMessage="false" sqref="O2:O300" type="list">
      <formula1>"Original measurement,Market-generated,Derived,Mixed,Opinion"</formula1>
      <formula2>0</formula2>
    </dataValidation>
    <dataValidation allowBlank="true" errorStyle="stop" operator="between" showDropDown="false" showErrorMessage="false" showInputMessage="false" sqref="R2:R300" type="list">
      <formula1>"Yes,Partial,No"</formula1>
      <formula2>0</formula2>
    </dataValidation>
    <dataValidation allowBlank="true" errorStyle="stop" operator="between" showDropDown="false" showErrorMessage="false" showInputMessage="false" sqref="S2:S300" type="list">
      <formula1>"New data,Timing,Forecast,Interpretation,Repackaging"</formula1>
      <formula2>0</formula2>
    </dataValidation>
    <dataValidation allowBlank="true" errorStyle="stop" operator="between" showDropDown="false" showErrorMessage="false" showInputMessage="false" sqref="T2:T300" type="list">
      <formula1>"Not started,Scoped,Connected,Live in agent"</formula1>
      <formula2>0</formula2>
    </dataValidation>
    <dataValidation allowBlank="true" errorStyle="stop" operator="between" showDropDown="false" showErrorMessage="false" showInputMessage="false" sqref="U2:U300" type="list">
      <formula1>"Price and market,Input cost,Policy and regulation,Trade and geopolitics,Weather and climate,Disease and border,Credit and finance,Technology and structure,Land and ownership,Diversification-path viability,MFP events,Context only"</formula1>
      <formula2>0</formula2>
    </dataValidation>
    <dataValidation allowBlank="true" errorStyle="stop" operator="between" showDropDown="false" showErrorMessage="false" showInputMessage="false" sqref="V2:V300" type="list">
      <formula1>"Detection feed,Context,Context (synthesized),Fetch and verify,Lens prefill"</formula1>
      <formula2>0</formula2>
    </dataValidation>
    <dataValidation allowBlank="true" errorStyle="stop" operator="between" showDropDown="false" showErrorMessage="false" showInputMessage="false" sqref="W2:W300" type="list">
      <formula1>"0,1,2"</formula1>
      <formula2>0</formula2>
    </dataValidation>
    <dataValidation allowBlank="true" errorStyle="stop" operator="between" showDropDown="false" showErrorMessage="false" showInputMessage="false" sqref="AA2:AA300" type="list">
      <formula1>"Wave 1,Wave 2,Wave 3"</formula1>
      <formula2>0</formula2>
    </dataValidation>
  </dataValidations>
  <hyperlinks>
    <hyperlink ref="L2" r:id="rId1" display="https://www.usda.gov/oce/commodity/wasde"/>
    <hyperlink ref="L3" r:id="rId2" display="https://apps.fas.usda.gov/psdonline/"/>
    <hyperlink ref="L4" r:id="rId3" display="https://quickstats.nass.usda.gov/"/>
    <hyperlink ref="L5" r:id="rId4" display="https://www.nass.usda.gov/Publications/"/>
    <hyperlink ref="L6" r:id="rId5" display="https://www.nass.usda.gov/Publications/"/>
    <hyperlink ref="L7" r:id="rId6" display="https://www.nass.usda.gov/Publications/"/>
    <hyperlink ref="L8" r:id="rId7" display="https://www.ers.usda.gov/topics/animal-products/dairy/"/>
    <hyperlink ref="L9" r:id="rId8" display="https://www.ers.usda.gov/topics/crops/"/>
    <hyperlink ref="L10" r:id="rId9" display="https://www.ers.usda.gov/topics/crops/"/>
    <hyperlink ref="L11" r:id="rId10" display="https://www.ers.usda.gov/data-products/food-price-outlook/"/>
    <hyperlink ref="L12" r:id="rId11" display="https://www.ers.usda.gov/data-products/food-availability-per-capita-data-system/"/>
    <hyperlink ref="L13" r:id="rId12" display="https://www.ers.usda.gov/data-products/farm-income-and-wealth-statistics/"/>
    <hyperlink ref="L14" r:id="rId13" display="https://www.ers.usda.gov/data-products/international-macroeconomic-data-set/"/>
    <hyperlink ref="L15" r:id="rId14" display="https://www.nass.usda.gov/AgCensus/"/>
    <hyperlink ref="L16" r:id="rId15" display="https://www.nass.usda.gov/Publications/"/>
    <hyperlink ref="L17" r:id="rId16" display="https://www.fsa.usda.gov/"/>
    <hyperlink ref="L18" r:id="rId17" display="https://www.ams.usda.gov/market-news/dairy-market-news"/>
    <hyperlink ref="L19" r:id="rId18" display="https://www.ams.usda.gov/market-news"/>
    <hyperlink ref="L20" r:id="rId19" display="https://www.ams.usda.gov/market-news"/>
    <hyperlink ref="L21" r:id="rId20" display="https://www.ams.usda.gov/market-news"/>
    <hyperlink ref="L22" r:id="rId21" display="https://www.ams.usda.gov/market-news"/>
    <hyperlink ref="L23" r:id="rId22" display="https://www.cmegroup.com/markets/agriculture.html"/>
    <hyperlink ref="L24" r:id="rId23" display="https://www.cmegroup.com/markets/agriculture.html"/>
    <hyperlink ref="L25" r:id="rId24" display="https://www.globaldairytrade.info/"/>
    <hyperlink ref="L26" r:id="rId25" display="https://apps.fas.usda.gov/gats/"/>
    <hyperlink ref="L27" r:id="rId26" display="https://apps.fas.usda.gov/export-sales/esrd1.html"/>
    <hyperlink ref="L28" r:id="rId27" display="https://gain.fas.usda.gov/"/>
    <hyperlink ref="L29" r:id="rId28" display="https://www.census.gov/foreign-trade/index.html"/>
    <hyperlink ref="L30" r:id="rId29" display="https://comtradeplus.un.org/"/>
    <hyperlink ref="L31" r:id="rId30" display="https://www.usdec.org/"/>
    <hyperlink ref="L32" r:id="rId31" display="https://www.fao.org/faostat/"/>
    <hyperlink ref="L33" r:id="rId32" display="https://www.fao.org/worldfoodsituation/foodpricesindex/en/"/>
    <hyperlink ref="L34" r:id="rId33" display="https://www.agri-outlook.org/"/>
    <hyperlink ref="L35" r:id="rId34" display="https://www.fapri.missouri.edu/"/>
    <hyperlink ref="L36" r:id="rId35" display="https://www.eia.gov/opendata/"/>
    <hyperlink ref="L37" r:id="rId36" display="https://www.nopa.org/"/>
    <hyperlink ref="L38" r:id="rId37" display="https://www.epa.gov/renewable-fuel-standard-program"/>
    <hyperlink ref="L39" r:id="rId38" display="https://www.conab.gov.br/"/>
    <hyperlink ref="L40" r:id="rId39" display="https://www.bolsadecereales.com/"/>
    <hyperlink ref="L41" r:id="rId40" display="https://www.aphis.usda.gov/"/>
    <hyperlink ref="L42" r:id="rId41" display="https://www.dtnpf.com/"/>
    <hyperlink ref="L43" r:id="rId42" display="https://www.worldbank.org/en/research/commodity-markets"/>
    <hyperlink ref="L44" r:id="rId43" display="https://farmdocdaily.illinois.edu/"/>
    <hyperlink ref="L45" r:id="rId44" display="https://www.extension.iastate.edu/agdm/"/>
    <hyperlink ref="L46" r:id="rId45" display="https://ag.purdue.edu/commercialag/ageconomybarometer/"/>
    <hyperlink ref="L47" r:id="rId46" display="https://www.kansascityfed.org/agriculture/ag-credit-surveys/"/>
    <hyperlink ref="L48" r:id="rId47" display="https://www.chicagofed.org/publications/agletter/index"/>
    <hyperlink ref="L49" r:id="rId48" display="https://research.rabobank.com/"/>
    <hyperlink ref="L50" r:id="rId49" display="https://lmic.info/"/>
    <hyperlink ref="L51" r:id="rId50" display="https://www.cattlefax.com/"/>
    <hyperlink ref="L52" r:id="rId51" display="https://www.idfa.org/"/>
    <hyperlink ref="L53" r:id="rId52" display="https://www.imf.org/en/Publications/WEO"/>
    <hyperlink ref="L54" r:id="rId53" display="https://data.worldbank.org/"/>
    <hyperlink ref="L55" r:id="rId54" display="https://ustr.gov/"/>
    <hyperlink ref="L56" r:id="rId55" display="https://www.wto.org/"/>
    <hyperlink ref="L57" r:id="rId56" display="https://www.globaltradealert.org/"/>
    <hyperlink ref="L58" r:id="rId57" display="https://www.federalregister.gov/"/>
    <hyperlink ref="L59" r:id="rId58" display="https://acleddata.com/"/>
    <hyperlink ref="L60" r:id="rId59" display="https://www.dietaryguidelines.gov/"/>
    <hyperlink ref="L61" r:id="rId60" display="https://www.fda.gov/food"/>
    <hyperlink ref="L62" r:id="rId61" display="https://www.cdc.gov/"/>
    <hyperlink ref="L63" r:id="rId62" display="https://foodinsight.org/"/>
    <hyperlink ref="L64" r:id="rId63" display="https://www.circana.com/"/>
    <hyperlink ref="L65" r:id="rId64" display="https://www.cpc.ncep.noaa.gov/"/>
    <hyperlink ref="L66" r:id="rId65" display="https://droughtmonitor.unl.edu/"/>
    <hyperlink ref="L67" r:id="rId66" display="https://climate.copernicus.eu/"/>
    <hyperlink ref="L68" r:id="rId67" display="https://www.fao.org/giews/"/>
    <hyperlink ref="L69" r:id="rId68" display="https://www.rma.usda.gov/"/>
    <hyperlink ref="L70" r:id="rId69" display="https://patentsview.org/"/>
    <hyperlink ref="L71" r:id="rId70" display="https://agfundernews.com/"/>
    <hyperlink ref="L72" r:id="rId71" display="https://www.justice.gov/atr"/>
    <hyperlink ref="L73" r:id="rId72" display="https://www.congress.gov/"/>
    <hyperlink ref="L74" r:id="rId73" display="https://agriculture.house.gov/"/>
    <hyperlink ref="L75" r:id="rId74" display="https://crsreports.congress.gov/"/>
    <hyperlink ref="L76" r:id="rId75" display="https://www.cbo.gov/"/>
    <hyperlink ref="L77" r:id="rId76" display="https://www.regulations.gov/"/>
    <hyperlink ref="L78" r:id="rId77" display="https://www.reginfo.gov/public/do/eAgendaMain"/>
    <hyperlink ref="L79" r:id="rId78" display="https://www.fsa.usda.gov/resources/programs"/>
    <hyperlink ref="L80" r:id="rId79" display="https://www.ams.usda.gov/rules-regulations/moa/dairy"/>
    <hyperlink ref="L81" r:id="rId80" display="https://www.ams.usda.gov/rules-regulations/moa"/>
    <hyperlink ref="L82" r:id="rId81" display="https://www.ams.usda.gov/rules-regulations/packers-and-stockyards-act"/>
    <hyperlink ref="L83" r:id="rId82" display="https://www.fsis.usda.gov/policy"/>
    <hyperlink ref="L84" r:id="rId83" display="https://www.aphis.usda.gov/"/>
    <hyperlink ref="L85" r:id="rId84" display="https://www.fda.gov/food/guidance-regulation-food-and-dietary-supplements/food-safety-modernization-act-fsma"/>
    <hyperlink ref="L86" r:id="rId85" display="https://www.epa.gov/pesticides"/>
    <hyperlink ref="L87" r:id="rId86" display="https://www.epa.gov/agriculture"/>
    <hyperlink ref="L88" r:id="rId87" display="https://www.fns.usda.gov/"/>
    <hyperlink ref="L89" r:id="rId88" display="https://www.nrcs.usda.gov/"/>
    <hyperlink ref="L90" r:id="rId89" display="https://www.dol.gov/agencies/eta/foreign-labor"/>
    <hyperlink ref="L91" r:id="rId90" display="https://www.irs.gov/"/>
    <hyperlink ref="L92" r:id="rId91" display="https://www.ers.usda.gov/topics/farm-economy/farm-commodity-policy/"/>
    <hyperlink ref="L93" r:id="rId92" display="https://www.ncsl.org/agriculture-and-rural-development"/>
    <hyperlink ref="L94" r:id="rId93" display="https://legiscan.com/"/>
    <hyperlink ref="L95" r:id="rId94" display="https://www.nasda.org/"/>
    <hyperlink ref="L96" r:id="rId95" display="https://nationalaglawcenter.org/"/>
    <hyperlink ref="L97" r:id="rId96" display="https://ballotpedia.org/"/>
    <hyperlink ref="L98" r:id="rId97" display="https://hts.usitc.gov/"/>
    <hyperlink ref="L99" r:id="rId98" display="https://www.trade.gov/enforcement-and-compliance"/>
    <hyperlink ref="L100" r:id="rId99" display="https://agriculture.ec.europa.eu/"/>
    <hyperlink ref="L101" r:id="rId100" display="https://www.fao.org/fao-who-codexalimentarius/"/>
    <hyperlink ref="L102" r:id="rId101" display="https://www.woah.org/"/>
    <hyperlink ref="L103" r:id="rId102" display="https://www.ncga.com/"/>
    <hyperlink ref="L104" r:id="rId103" display="https://soygrowers.com/"/>
    <hyperlink ref="L105" r:id="rId104" display="https://www.wheatworld.org/"/>
    <hyperlink ref="L106" r:id="rId105" display="https://www.ncba.org/"/>
    <hyperlink ref="L107" r:id="rId106" display="https://nppc.org/"/>
    <hyperlink ref="L108" r:id="rId107" display="https://www.nationalchickencouncil.org/"/>
    <hyperlink ref="L109" r:id="rId108" display="https://unitedegg.com/"/>
    <hyperlink ref="L110" r:id="rId109" display="https://www.wga.com/"/>
    <hyperlink ref="L111" r:id="rId110" display="https://www.tfi.org/"/>
    <hyperlink ref="L112" r:id="rId111" display="https://www.fb.org/"/>
    <hyperlink ref="L113" r:id="rId112" display="https://www.agri-pulse.com/"/>
    <hyperlink ref="L114" r:id="rId113" display="https://www.hagstromreport.com/"/>
    <hyperlink ref="L115" r:id="rId114" display="https://www.weather.gov/"/>
    <hyperlink ref="L116" r:id="rId115" display="https://www.ncei.noaa.gov/"/>
    <hyperlink ref="L117" r:id="rId116" display="https://www.cpc.ncep.noaa.gov/products/analysis_monitoring/enso_advisory/"/>
    <hyperlink ref="L118" r:id="rId117" display="https://www.usda.gov/oce/weather"/>
    <hyperlink ref="L119" r:id="rId118" display="https://www.climatehubs.usda.gov/"/>
    <hyperlink ref="L120" r:id="rId119" display="https://power.larc.nasa.gov/"/>
    <hyperlink ref="L121" r:id="rId120" display="https://www.nrcs.usda.gov/"/>
    <hyperlink ref="L122" r:id="rId121" display="https://waterdata.usgs.gov/"/>
    <hyperlink ref="L123" r:id="rId122" display="https://www.usbr.gov/"/>
    <hyperlink ref="L124" r:id="rId123" display="https://mesonet.agron.iastate.edu/"/>
    <hyperlink ref="L125" r:id="rId124" display="https://www.nhc.noaa.gov/"/>
    <hyperlink ref="L126" r:id="rId125" display="https://www.nifc.gov/"/>
    <hyperlink ref="L127" r:id="rId126" display="https://www.fsa.usda.gov/"/>
    <hyperlink ref="L128" r:id="rId127" display="https://www.ecmwf.int/"/>
    <hyperlink ref="L129" r:id="rId128" display="https://www.ipcc.ch/"/>
    <hyperlink ref="L130" r:id="rId129" display="https://nca2023.globalchange.gov/"/>
    <hyperlink ref="L131" r:id="rId130" display="https://iri.columbia.edu/"/>
    <hyperlink ref="L132" r:id="rId131" display="https://www.dtn.com/"/>
    <hyperlink ref="L133" r:id="rId132" display="https://open-meteo.com/"/>
    <hyperlink ref="L134" r:id="rId133" display="https://water.noaa.gov/"/>
    <hyperlink ref="L135" r:id="rId134" display="https://www.ers.usda.gov/data-products/arms-farm-financial-and-crop-production-practices/"/>
    <hyperlink ref="L136" r:id="rId135" display="https://www.nifa.usda.gov/"/>
    <hyperlink ref="L137" r:id="rId136" display="https://www.cgiar.org/"/>
    <hyperlink ref="L138" r:id="rId137" display="https://www.fda.gov/food/generally-recognized-safe-gras/gras-notice-inventory"/>
    <hyperlink ref="L139" r:id="rId138" display="https://www.sec.gov/edgar"/>
    <hyperlink ref="L140" r:id="rId139" display="https://www.bls.gov/cpi/"/>
    <hyperlink ref="L141" r:id="rId140" display="https://www.ers.usda.gov/data-products/food-expenditure-series/"/>
    <hyperlink ref="L142" r:id="rId141" display="https://pubmed.ncbi.nlm.nih.gov/"/>
    <hyperlink ref="L143" r:id="rId142" display="https://population.un.org/wpp/"/>
    <hyperlink ref="L144" r:id="rId143" display="http://english.customs.gov.cn/"/>
    <hyperlink ref="L145" r:id="rId144" display="https://www.ifpri.org/"/>
    <hyperlink ref="L146" r:id="rId145" display="https://www.fas.usda.gov/data"/>
    <hyperlink ref="L147" r:id="rId146" display="https://www.fca.gov/"/>
    <hyperlink ref="L148" r:id="rId147" display="https://www.farmermac.com/"/>
    <hyperlink ref="L149" r:id="rId148" display="https://farmland.org/"/>
    <hyperlink ref="L150" r:id="rId149" display="https://fred.stlouisfed.org/"/>
    <hyperlink ref="L151" r:id="rId150" display="https://www.ers.usda.gov/data-products/agricultural-exchange-rate-data-set/"/>
    <hyperlink ref="L152" r:id="rId151" display="https://www.nass.usda.gov/Surveys/Guide_to_NASS_Surveys/Farm_Labor/"/>
    <hyperlink ref="L153" r:id="rId152" display="https://www.nass.usda.gov/Publications/"/>
    <hyperlink ref="L154" r:id="rId153" display="https://www.ams.usda.gov/market-news"/>
    <hyperlink ref="L155" r:id="rId154" display="https://www.ams.usda.gov/services/transportation-analysis/gtr"/>
    <hyperlink ref="L156" r:id="rId155" display="https://www.eia.gov/outlooks/steo/"/>
    <hyperlink ref="L157" r:id="rId156" display="https://www.agriculture.gov.au/abares"/>
    <hyperlink ref="L158" r:id="rId157" display="https://agriculture.ec.europa.eu/data-and-analysis/markets_en"/>
    <hyperlink ref="L159" r:id="rId158" display="https://www.fsis.usda.gov/recalls"/>
    <hyperlink ref="L170" r:id="rId159" display="https://websoilsurvey.nrcs.usda.gov/"/>
    <hyperlink ref="L171" r:id="rId160" display="https://nassgeodata.gmu.edu/CropScape/"/>
    <hyperlink ref="L172" r:id="rId161" display="https://nassgeodata.gmu.edu/VegScape/"/>
    <hyperlink ref="L173" r:id="rId162" display="https://planthardiness.ars.usda.gov/"/>
    <hyperlink ref="L174" r:id="rId163" display="https://msc.fema.gov/"/>
    <hyperlink ref="L175" r:id="rId164" display="https://www.irs.gov/publications/p225"/>
    <hyperlink ref="L176" r:id="rId165" display="https://www.farmers.gov/"/>
    <hyperlink ref="L178" r:id="rId166" display="https://news.gallup.com/"/>
    <hyperlink ref="L179" r:id="rId167" display="https://www.kff.org/"/>
    <hyperlink ref="L180" r:id="rId168" display="https://www.cms.gov/"/>
    <hyperlink ref="L181" r:id="rId169" display="https://www.accessdata.fda.gov/scripts/cder/daf/"/>
    <hyperlink ref="L182" r:id="rId170" display="https://ota.com/"/>
    <hyperlink ref="L183" r:id="rId171" display="https://www.climatecentral.org/"/>
    <hyperlink ref="L184" r:id="rId172" display="https://wmo.int/"/>
    <hyperlink ref="L185" r:id="rId173" display="https://www.ncreif.org/"/>
    <hyperlink ref="L186" r:id="rId174" display="https://www.epiqglobal.com/"/>
    <hyperlink ref="L187" r:id="rId175" display="https://worlddata.io/"/>
    <hyperlink ref="L188" r:id="rId176" display="https://anec.com.br/"/>
    <hyperlink ref="L189" r:id="rId177" display="https://bushelpowered.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7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3" min="3" style="1" width="46"/>
    <col collapsed="false" customWidth="true" hidden="false" outlineLevel="0" max="4" min="4" style="1" width="12"/>
    <col collapsed="false" customWidth="true" hidden="false" outlineLevel="0" max="5" min="5" style="1" width="18"/>
    <col collapsed="false" customWidth="true" hidden="false" outlineLevel="0" max="6" min="6" style="1" width="24"/>
    <col collapsed="false" customWidth="true" hidden="false" outlineLevel="0" max="7" min="7" style="1" width="18"/>
    <col collapsed="false" customWidth="true" hidden="false" outlineLevel="0" max="8" min="8" style="1" width="26"/>
    <col collapsed="false" customWidth="true" hidden="false" outlineLevel="0" max="9" min="9" style="1" width="60"/>
  </cols>
  <sheetData>
    <row r="1" customFormat="false" ht="17.25" hidden="false" customHeight="true" outlineLevel="0" collapsed="false">
      <c r="A1" s="2" t="s">
        <v>1278</v>
      </c>
    </row>
    <row r="2" customFormat="false" ht="15" hidden="false" customHeight="true" outlineLevel="0" collapsed="false">
      <c r="A2" s="12" t="s">
        <v>1279</v>
      </c>
    </row>
    <row r="4" customFormat="false" ht="30" hidden="false" customHeight="true" outlineLevel="0" collapsed="false">
      <c r="A4" s="7" t="s">
        <v>1280</v>
      </c>
      <c r="B4" s="7" t="s">
        <v>42</v>
      </c>
      <c r="C4" s="7" t="s">
        <v>43</v>
      </c>
      <c r="D4" s="7" t="s">
        <v>49</v>
      </c>
      <c r="E4" s="7" t="s">
        <v>1281</v>
      </c>
      <c r="F4" s="7" t="s">
        <v>17</v>
      </c>
      <c r="G4" s="7" t="s">
        <v>15</v>
      </c>
      <c r="H4" s="7" t="s">
        <v>51</v>
      </c>
      <c r="I4" s="7" t="s">
        <v>1282</v>
      </c>
    </row>
    <row r="5" customFormat="false" ht="15" hidden="false" customHeight="true" outlineLevel="0" collapsed="false">
      <c r="A5" s="8" t="str">
        <f aca="false">IFERROR(INDEX('Source Registry'!$AA$2:$AA$400,MATCH($B5,'Source Registry'!$A$2:$A$400,0))&amp;"","")</f>
        <v>Wave 1</v>
      </c>
      <c r="B5" s="8" t="s">
        <v>222</v>
      </c>
      <c r="C5" s="8" t="str">
        <f aca="false">IFERROR(INDEX('Source Registry'!$B$2:$B$400,MATCH($B5,'Source Registry'!$A$2:$A$400,0))&amp;"","")</f>
        <v>AMS Livestock, Poultry and Grain Market News</v>
      </c>
      <c r="D5" s="9" t="str">
        <f aca="false">IFERROR(INDEX('Source Registry'!$I$2:$I$400,MATCH($B5,'Source Registry'!$A$2:$A$400,0))&amp;"","")</f>
        <v>2</v>
      </c>
      <c r="E5" s="8" t="str">
        <f aca="false">IFERROR(INDEX('Source Registry'!$J$2:$J$400,MATCH($B5,'Source Registry'!$A$2:$A$400,0))&amp;"","")</f>
        <v>Daily / weekly</v>
      </c>
      <c r="F5" s="8" t="str">
        <f aca="false">IFERROR(INDEX('Source Registry'!$U$2:$U$400,MATCH($B5,'Source Registry'!$A$2:$A$400,0))&amp;"","")</f>
        <v>Price and market</v>
      </c>
      <c r="G5" s="8" t="str">
        <f aca="false">IFERROR(INDEX('Source Registry'!$V$2:$V$400,MATCH($B5,'Source Registry'!$A$2:$A$400,0))&amp;"","")</f>
        <v>Detection feed</v>
      </c>
      <c r="H5" s="8" t="str">
        <f aca="false">IFERROR(INDEX('Source Registry'!$K$2:$K$400,MATCH($B5,'Source Registry'!$A$2:$A$400,0))&amp;"","")</f>
        <v>Free API (MARS) / web</v>
      </c>
      <c r="I5" s="8" t="str">
        <f aca="false">IFERROR(INDEX('Source Registry'!$AB$2:$AB$400,MATCH($B5,'Source Registry'!$A$2:$A$400,0))&amp;"","")</f>
        <v/>
      </c>
    </row>
    <row r="6" customFormat="false" ht="15" hidden="false" customHeight="true" outlineLevel="0" collapsed="false">
      <c r="A6" s="8" t="str">
        <f aca="false">IFERROR(INDEX('Source Registry'!$AA$2:$AA$400,MATCH($B6,'Source Registry'!$A$2:$A$400,0))&amp;"","")</f>
        <v>Wave 1</v>
      </c>
      <c r="B6" s="8" t="s">
        <v>204</v>
      </c>
      <c r="C6" s="8" t="str">
        <f aca="false">IFERROR(INDEX('Source Registry'!$B$2:$B$400,MATCH($B6,'Source Registry'!$A$2:$A$400,0))&amp;"","")</f>
        <v>AMS Dairy Market News</v>
      </c>
      <c r="D6" s="9" t="str">
        <f aca="false">IFERROR(INDEX('Source Registry'!$I$2:$I$400,MATCH($B6,'Source Registry'!$A$2:$A$400,0))&amp;"","")</f>
        <v>2</v>
      </c>
      <c r="E6" s="8" t="str">
        <f aca="false">IFERROR(INDEX('Source Registry'!$J$2:$J$400,MATCH($B6,'Source Registry'!$A$2:$A$400,0))&amp;"","")</f>
        <v>Weekly / daily</v>
      </c>
      <c r="F6" s="8" t="str">
        <f aca="false">IFERROR(INDEX('Source Registry'!$U$2:$U$400,MATCH($B6,'Source Registry'!$A$2:$A$400,0))&amp;"","")</f>
        <v>Price and market</v>
      </c>
      <c r="G6" s="8" t="str">
        <f aca="false">IFERROR(INDEX('Source Registry'!$V$2:$V$400,MATCH($B6,'Source Registry'!$A$2:$A$400,0))&amp;"","")</f>
        <v>Detection feed</v>
      </c>
      <c r="H6" s="8" t="str">
        <f aca="false">IFERROR(INDEX('Source Registry'!$K$2:$K$400,MATCH($B6,'Source Registry'!$A$2:$A$400,0))&amp;"","")</f>
        <v>Free API (MARS) / web</v>
      </c>
      <c r="I6" s="8" t="str">
        <f aca="false">IFERROR(INDEX('Source Registry'!$AB$2:$AB$400,MATCH($B6,'Source Registry'!$A$2:$A$400,0))&amp;"","")</f>
        <v/>
      </c>
    </row>
    <row r="7" customFormat="false" ht="15" hidden="false" customHeight="true" outlineLevel="0" collapsed="false">
      <c r="A7" s="8" t="str">
        <f aca="false">IFERROR(INDEX('Source Registry'!$AA$2:$AA$400,MATCH($B7,'Source Registry'!$A$2:$A$400,0))&amp;"","")</f>
        <v>Wave 1</v>
      </c>
      <c r="B7" s="8" t="s">
        <v>500</v>
      </c>
      <c r="C7" s="8" t="str">
        <f aca="false">IFERROR(INDEX('Source Registry'!$B$2:$B$400,MATCH($B7,'Source Registry'!$A$2:$A$400,0))&amp;"","")</f>
        <v>Federal Register</v>
      </c>
      <c r="D7" s="9" t="str">
        <f aca="false">IFERROR(INDEX('Source Registry'!$I$2:$I$400,MATCH($B7,'Source Registry'!$A$2:$A$400,0))&amp;"","")</f>
        <v>1</v>
      </c>
      <c r="E7" s="8" t="str">
        <f aca="false">IFERROR(INDEX('Source Registry'!$J$2:$J$400,MATCH($B7,'Source Registry'!$A$2:$A$400,0))&amp;"","")</f>
        <v>Daily</v>
      </c>
      <c r="F7" s="8" t="str">
        <f aca="false">IFERROR(INDEX('Source Registry'!$U$2:$U$400,MATCH($B7,'Source Registry'!$A$2:$A$400,0))&amp;"","")</f>
        <v>Policy and regulation</v>
      </c>
      <c r="G7" s="8" t="str">
        <f aca="false">IFERROR(INDEX('Source Registry'!$V$2:$V$400,MATCH($B7,'Source Registry'!$A$2:$A$400,0))&amp;"","")</f>
        <v>Detection feed</v>
      </c>
      <c r="H7" s="8" t="str">
        <f aca="false">IFERROR(INDEX('Source Registry'!$K$2:$K$400,MATCH($B7,'Source Registry'!$A$2:$A$400,0))&amp;"","")</f>
        <v>Free API</v>
      </c>
      <c r="I7" s="8" t="str">
        <f aca="false">IFERROR(INDEX('Source Registry'!$AB$2:$AB$400,MATCH($B7,'Source Registry'!$A$2:$A$400,0))&amp;"","")</f>
        <v/>
      </c>
    </row>
    <row r="8" customFormat="false" ht="15" hidden="false" customHeight="true" outlineLevel="0" collapsed="false">
      <c r="A8" s="8" t="str">
        <f aca="false">IFERROR(INDEX('Source Registry'!$AA$2:$AA$400,MATCH($B8,'Source Registry'!$A$2:$A$400,0))&amp;"","")</f>
        <v>Wave 1</v>
      </c>
      <c r="B8" s="8" t="s">
        <v>837</v>
      </c>
      <c r="C8" s="8" t="str">
        <f aca="false">IFERROR(INDEX('Source Registry'!$B$2:$B$400,MATCH($B8,'Source Registry'!$A$2:$A$400,0))&amp;"","")</f>
        <v>National Weather Service forecasts and alerts</v>
      </c>
      <c r="D8" s="9" t="str">
        <f aca="false">IFERROR(INDEX('Source Registry'!$I$2:$I$400,MATCH($B8,'Source Registry'!$A$2:$A$400,0))&amp;"","")</f>
        <v>1</v>
      </c>
      <c r="E8" s="8" t="str">
        <f aca="false">IFERROR(INDEX('Source Registry'!$J$2:$J$400,MATCH($B8,'Source Registry'!$A$2:$A$400,0))&amp;"","")</f>
        <v>Continuous</v>
      </c>
      <c r="F8" s="8" t="str">
        <f aca="false">IFERROR(INDEX('Source Registry'!$U$2:$U$400,MATCH($B8,'Source Registry'!$A$2:$A$400,0))&amp;"","")</f>
        <v>Weather and climate</v>
      </c>
      <c r="G8" s="8" t="str">
        <f aca="false">IFERROR(INDEX('Source Registry'!$V$2:$V$400,MATCH($B8,'Source Registry'!$A$2:$A$400,0))&amp;"","")</f>
        <v>Detection feed</v>
      </c>
      <c r="H8" s="8" t="str">
        <f aca="false">IFERROR(INDEX('Source Registry'!$K$2:$K$400,MATCH($B8,'Source Registry'!$A$2:$A$400,0))&amp;"","")</f>
        <v>Free API</v>
      </c>
      <c r="I8" s="8" t="str">
        <f aca="false">IFERROR(INDEX('Source Registry'!$AB$2:$AB$400,MATCH($B8,'Source Registry'!$A$2:$A$400,0))&amp;"","")</f>
        <v/>
      </c>
    </row>
    <row r="9" customFormat="false" ht="15" hidden="false" customHeight="true" outlineLevel="0" collapsed="false">
      <c r="A9" s="8" t="str">
        <f aca="false">IFERROR(INDEX('Source Registry'!$AA$2:$AA$400,MATCH($B9,'Source Registry'!$A$2:$A$400,0))&amp;"","")</f>
        <v>Wave 1</v>
      </c>
      <c r="B9" s="8" t="s">
        <v>553</v>
      </c>
      <c r="C9" s="8" t="str">
        <f aca="false">IFERROR(INDEX('Source Registry'!$B$2:$B$400,MATCH($B9,'Source Registry'!$A$2:$A$400,0))&amp;"","")</f>
        <v>US Drought Monitor</v>
      </c>
      <c r="D9" s="9" t="str">
        <f aca="false">IFERROR(INDEX('Source Registry'!$I$2:$I$400,MATCH($B9,'Source Registry'!$A$2:$A$400,0))&amp;"","")</f>
        <v>1</v>
      </c>
      <c r="E9" s="8" t="str">
        <f aca="false">IFERROR(INDEX('Source Registry'!$J$2:$J$400,MATCH($B9,'Source Registry'!$A$2:$A$400,0))&amp;"","")</f>
        <v>Weekly</v>
      </c>
      <c r="F9" s="8" t="str">
        <f aca="false">IFERROR(INDEX('Source Registry'!$U$2:$U$400,MATCH($B9,'Source Registry'!$A$2:$A$400,0))&amp;"","")</f>
        <v>Weather and climate</v>
      </c>
      <c r="G9" s="8" t="str">
        <f aca="false">IFERROR(INDEX('Source Registry'!$V$2:$V$400,MATCH($B9,'Source Registry'!$A$2:$A$400,0))&amp;"","")</f>
        <v>Detection feed</v>
      </c>
      <c r="H9" s="8" t="str">
        <f aca="false">IFERROR(INDEX('Source Registry'!$K$2:$K$400,MATCH($B9,'Source Registry'!$A$2:$A$400,0))&amp;"","")</f>
        <v>Free download / API</v>
      </c>
      <c r="I9" s="8" t="str">
        <f aca="false">IFERROR(INDEX('Source Registry'!$AB$2:$AB$400,MATCH($B9,'Source Registry'!$A$2:$A$400,0))&amp;"","")</f>
        <v/>
      </c>
    </row>
    <row r="10" customFormat="false" ht="15" hidden="false" customHeight="true" outlineLevel="0" collapsed="false">
      <c r="A10" s="8" t="str">
        <f aca="false">IFERROR(INDEX('Source Registry'!$AA$2:$AA$400,MATCH($B10,'Source Registry'!$A$2:$A$400,0))&amp;"","")</f>
        <v>Wave 1</v>
      </c>
      <c r="B10" s="8" t="s">
        <v>393</v>
      </c>
      <c r="C10" s="8" t="str">
        <f aca="false">IFERROR(INDEX('Source Registry'!$B$2:$B$400,MATCH($B10,'Source Registry'!$A$2:$A$400,0))&amp;"","")</f>
        <v>DTN retail fertilizer trends</v>
      </c>
      <c r="D10" s="9" t="str">
        <f aca="false">IFERROR(INDEX('Source Registry'!$I$2:$I$400,MATCH($B10,'Source Registry'!$A$2:$A$400,0))&amp;"","")</f>
        <v>2</v>
      </c>
      <c r="E10" s="8" t="str">
        <f aca="false">IFERROR(INDEX('Source Registry'!$J$2:$J$400,MATCH($B10,'Source Registry'!$A$2:$A$400,0))&amp;"","")</f>
        <v>Weekly</v>
      </c>
      <c r="F10" s="8" t="str">
        <f aca="false">IFERROR(INDEX('Source Registry'!$U$2:$U$400,MATCH($B10,'Source Registry'!$A$2:$A$400,0))&amp;"","")</f>
        <v>Input cost</v>
      </c>
      <c r="G10" s="8" t="str">
        <f aca="false">IFERROR(INDEX('Source Registry'!$V$2:$V$400,MATCH($B10,'Source Registry'!$A$2:$A$400,0))&amp;"","")</f>
        <v>Detection feed</v>
      </c>
      <c r="H10" s="8" t="str">
        <f aca="false">IFERROR(INDEX('Source Registry'!$K$2:$K$400,MATCH($B10,'Source Registry'!$A$2:$A$400,0))&amp;"","")</f>
        <v>Free web</v>
      </c>
      <c r="I10" s="8" t="str">
        <f aca="false">IFERROR(INDEX('Source Registry'!$AB$2:$AB$400,MATCH($B10,'Source Registry'!$A$2:$A$400,0))&amp;"","")</f>
        <v>Web-only; check terms and plan for licensed access or careful scraping</v>
      </c>
    </row>
    <row r="11" customFormat="false" ht="23.25" hidden="false" customHeight="true" outlineLevel="0" collapsed="false">
      <c r="A11" s="8" t="str">
        <f aca="false">IFERROR(INDEX('Source Registry'!$AA$2:$AA$400,MATCH($B11,'Source Registry'!$A$2:$A$400,0))&amp;"","")</f>
        <v>Wave 2</v>
      </c>
      <c r="B11" s="8" t="s">
        <v>259</v>
      </c>
      <c r="C11" s="8" t="str">
        <f aca="false">IFERROR(INDEX('Source Registry'!$B$2:$B$400,MATCH($B11,'Source Registry'!$A$2:$A$400,0))&amp;"","")</f>
        <v>CME grain and livestock futures</v>
      </c>
      <c r="D11" s="9" t="str">
        <f aca="false">IFERROR(INDEX('Source Registry'!$I$2:$I$400,MATCH($B11,'Source Registry'!$A$2:$A$400,0))&amp;"","")</f>
        <v>2</v>
      </c>
      <c r="E11" s="8" t="str">
        <f aca="false">IFERROR(INDEX('Source Registry'!$J$2:$J$400,MATCH($B11,'Source Registry'!$A$2:$A$400,0))&amp;"","")</f>
        <v>Daily</v>
      </c>
      <c r="F11" s="8" t="str">
        <f aca="false">IFERROR(INDEX('Source Registry'!$U$2:$U$400,MATCH($B11,'Source Registry'!$A$2:$A$400,0))&amp;"","")</f>
        <v>Price and market</v>
      </c>
      <c r="G11" s="8" t="str">
        <f aca="false">IFERROR(INDEX('Source Registry'!$V$2:$V$400,MATCH($B11,'Source Registry'!$A$2:$A$400,0))&amp;"","")</f>
        <v>Detection feed</v>
      </c>
      <c r="H11" s="8" t="str">
        <f aca="false">IFERROR(INDEX('Source Registry'!$K$2:$K$400,MATCH($B11,'Source Registry'!$A$2:$A$400,0))&amp;"","")</f>
        <v>Delayed free / real-time licensed</v>
      </c>
      <c r="I11" s="8" t="str">
        <f aca="false">IFERROR(INDEX('Source Registry'!$AB$2:$AB$400,MATCH($B11,'Source Registry'!$A$2:$A$400,0))&amp;"","")</f>
        <v>Confirm CME data licensing for display in a commercial product; fall back to AMS feeds</v>
      </c>
    </row>
    <row r="12" customFormat="false" ht="23.25" hidden="false" customHeight="true" outlineLevel="0" collapsed="false">
      <c r="A12" s="8" t="str">
        <f aca="false">IFERROR(INDEX('Source Registry'!$AA$2:$AA$400,MATCH($B12,'Source Registry'!$A$2:$A$400,0))&amp;"","")</f>
        <v>Wave 2</v>
      </c>
      <c r="B12" s="8" t="s">
        <v>249</v>
      </c>
      <c r="C12" s="8" t="str">
        <f aca="false">IFERROR(INDEX('Source Registry'!$B$2:$B$400,MATCH($B12,'Source Registry'!$A$2:$A$400,0))&amp;"","")</f>
        <v>CME dairy futures and spot</v>
      </c>
      <c r="D12" s="9" t="str">
        <f aca="false">IFERROR(INDEX('Source Registry'!$I$2:$I$400,MATCH($B12,'Source Registry'!$A$2:$A$400,0))&amp;"","")</f>
        <v>2</v>
      </c>
      <c r="E12" s="8" t="str">
        <f aca="false">IFERROR(INDEX('Source Registry'!$J$2:$J$400,MATCH($B12,'Source Registry'!$A$2:$A$400,0))&amp;"","")</f>
        <v>Daily</v>
      </c>
      <c r="F12" s="8" t="str">
        <f aca="false">IFERROR(INDEX('Source Registry'!$U$2:$U$400,MATCH($B12,'Source Registry'!$A$2:$A$400,0))&amp;"","")</f>
        <v>Price and market</v>
      </c>
      <c r="G12" s="8" t="str">
        <f aca="false">IFERROR(INDEX('Source Registry'!$V$2:$V$400,MATCH($B12,'Source Registry'!$A$2:$A$400,0))&amp;"","")</f>
        <v>Detection feed</v>
      </c>
      <c r="H12" s="8" t="str">
        <f aca="false">IFERROR(INDEX('Source Registry'!$K$2:$K$400,MATCH($B12,'Source Registry'!$A$2:$A$400,0))&amp;"","")</f>
        <v>Delayed free / real-time licensed</v>
      </c>
      <c r="I12" s="8" t="str">
        <f aca="false">IFERROR(INDEX('Source Registry'!$AB$2:$AB$400,MATCH($B12,'Source Registry'!$A$2:$A$400,0))&amp;"","")</f>
        <v>Confirm CME data licensing for display in a commercial product; fall back to AMS feeds</v>
      </c>
    </row>
    <row r="13" customFormat="false" ht="15" hidden="false" customHeight="true" outlineLevel="0" collapsed="false">
      <c r="A13" s="8" t="str">
        <f aca="false">IFERROR(INDEX('Source Registry'!$AA$2:$AA$400,MATCH($B13,'Source Registry'!$A$2:$A$400,0))&amp;"","")</f>
        <v>Wave 2</v>
      </c>
      <c r="B13" s="8" t="s">
        <v>263</v>
      </c>
      <c r="C13" s="8" t="str">
        <f aca="false">IFERROR(INDEX('Source Registry'!$B$2:$B$400,MATCH($B13,'Source Registry'!$A$2:$A$400,0))&amp;"","")</f>
        <v>Global Dairy Trade auctions</v>
      </c>
      <c r="D13" s="9" t="str">
        <f aca="false">IFERROR(INDEX('Source Registry'!$I$2:$I$400,MATCH($B13,'Source Registry'!$A$2:$A$400,0))&amp;"","")</f>
        <v>2</v>
      </c>
      <c r="E13" s="8" t="str">
        <f aca="false">IFERROR(INDEX('Source Registry'!$J$2:$J$400,MATCH($B13,'Source Registry'!$A$2:$A$400,0))&amp;"","")</f>
        <v>Twice monthly</v>
      </c>
      <c r="F13" s="8" t="str">
        <f aca="false">IFERROR(INDEX('Source Registry'!$U$2:$U$400,MATCH($B13,'Source Registry'!$A$2:$A$400,0))&amp;"","")</f>
        <v>Price and market</v>
      </c>
      <c r="G13" s="8" t="str">
        <f aca="false">IFERROR(INDEX('Source Registry'!$V$2:$V$400,MATCH($B13,'Source Registry'!$A$2:$A$400,0))&amp;"","")</f>
        <v>Detection feed</v>
      </c>
      <c r="H13" s="8" t="str">
        <f aca="false">IFERROR(INDEX('Source Registry'!$K$2:$K$400,MATCH($B13,'Source Registry'!$A$2:$A$400,0))&amp;"","")</f>
        <v>Free web</v>
      </c>
      <c r="I13" s="8" t="str">
        <f aca="false">IFERROR(INDEX('Source Registry'!$AB$2:$AB$400,MATCH($B13,'Source Registry'!$A$2:$A$400,0))&amp;"","")</f>
        <v>Web-only; check terms and plan for licensed access or careful scraping</v>
      </c>
    </row>
    <row r="14" customFormat="false" ht="15" hidden="false" customHeight="true" outlineLevel="0" collapsed="false">
      <c r="A14" s="8" t="str">
        <f aca="false">IFERROR(INDEX('Source Registry'!$AA$2:$AA$400,MATCH($B14,'Source Registry'!$A$2:$A$400,0))&amp;"","")</f>
        <v>Wave 2</v>
      </c>
      <c r="B14" s="8" t="s">
        <v>1064</v>
      </c>
      <c r="C14" s="8" t="str">
        <f aca="false">IFERROR(INDEX('Source Registry'!$B$2:$B$400,MATCH($B14,'Source Registry'!$A$2:$A$400,0))&amp;"","")</f>
        <v>AMS hay and feedstuffs reports</v>
      </c>
      <c r="D14" s="9" t="str">
        <f aca="false">IFERROR(INDEX('Source Registry'!$I$2:$I$400,MATCH($B14,'Source Registry'!$A$2:$A$400,0))&amp;"","")</f>
        <v>2</v>
      </c>
      <c r="E14" s="8" t="str">
        <f aca="false">IFERROR(INDEX('Source Registry'!$J$2:$J$400,MATCH($B14,'Source Registry'!$A$2:$A$400,0))&amp;"","")</f>
        <v>Weekly</v>
      </c>
      <c r="F14" s="8" t="str">
        <f aca="false">IFERROR(INDEX('Source Registry'!$U$2:$U$400,MATCH($B14,'Source Registry'!$A$2:$A$400,0))&amp;"","")</f>
        <v>Input cost</v>
      </c>
      <c r="G14" s="8" t="str">
        <f aca="false">IFERROR(INDEX('Source Registry'!$V$2:$V$400,MATCH($B14,'Source Registry'!$A$2:$A$400,0))&amp;"","")</f>
        <v>Detection feed</v>
      </c>
      <c r="H14" s="8" t="str">
        <f aca="false">IFERROR(INDEX('Source Registry'!$K$2:$K$400,MATCH($B14,'Source Registry'!$A$2:$A$400,0))&amp;"","")</f>
        <v>Free web / API</v>
      </c>
      <c r="I14" s="8" t="str">
        <f aca="false">IFERROR(INDEX('Source Registry'!$AB$2:$AB$400,MATCH($B14,'Source Registry'!$A$2:$A$400,0))&amp;"","")</f>
        <v>Confirm report names and API access</v>
      </c>
    </row>
    <row r="15" customFormat="false" ht="15" hidden="false" customHeight="true" outlineLevel="0" collapsed="false">
      <c r="A15" s="8" t="str">
        <f aca="false">IFERROR(INDEX('Source Registry'!$AA$2:$AA$400,MATCH($B15,'Source Registry'!$A$2:$A$400,0))&amp;"","")</f>
        <v>Wave 2</v>
      </c>
      <c r="B15" s="8" t="s">
        <v>600</v>
      </c>
      <c r="C15" s="8" t="str">
        <f aca="false">IFERROR(INDEX('Source Registry'!$B$2:$B$400,MATCH($B15,'Source Registry'!$A$2:$A$400,0))&amp;"","")</f>
        <v>Congress.gov</v>
      </c>
      <c r="D15" s="9" t="str">
        <f aca="false">IFERROR(INDEX('Source Registry'!$I$2:$I$400,MATCH($B15,'Source Registry'!$A$2:$A$400,0))&amp;"","")</f>
        <v>1</v>
      </c>
      <c r="E15" s="8" t="str">
        <f aca="false">IFERROR(INDEX('Source Registry'!$J$2:$J$400,MATCH($B15,'Source Registry'!$A$2:$A$400,0))&amp;"","")</f>
        <v>Daily</v>
      </c>
      <c r="F15" s="8" t="str">
        <f aca="false">IFERROR(INDEX('Source Registry'!$U$2:$U$400,MATCH($B15,'Source Registry'!$A$2:$A$400,0))&amp;"","")</f>
        <v>Policy and regulation</v>
      </c>
      <c r="G15" s="8" t="str">
        <f aca="false">IFERROR(INDEX('Source Registry'!$V$2:$V$400,MATCH($B15,'Source Registry'!$A$2:$A$400,0))&amp;"","")</f>
        <v>Detection feed</v>
      </c>
      <c r="H15" s="8" t="str">
        <f aca="false">IFERROR(INDEX('Source Registry'!$K$2:$K$400,MATCH($B15,'Source Registry'!$A$2:$A$400,0))&amp;"","")</f>
        <v>Free web / API</v>
      </c>
      <c r="I15" s="8" t="str">
        <f aca="false">IFERROR(INDEX('Source Registry'!$AB$2:$AB$400,MATCH($B15,'Source Registry'!$A$2:$A$400,0))&amp;"","")</f>
        <v/>
      </c>
    </row>
    <row r="16" customFormat="false" ht="15" hidden="false" customHeight="true" outlineLevel="0" collapsed="false">
      <c r="A16" s="8" t="str">
        <f aca="false">IFERROR(INDEX('Source Registry'!$AA$2:$AA$400,MATCH($B16,'Source Registry'!$A$2:$A$400,0))&amp;"","")</f>
        <v>Wave 2</v>
      </c>
      <c r="B16" s="8" t="s">
        <v>720</v>
      </c>
      <c r="C16" s="8" t="str">
        <f aca="false">IFERROR(INDEX('Source Registry'!$B$2:$B$400,MATCH($B16,'Source Registry'!$A$2:$A$400,0))&amp;"","")</f>
        <v>LegiScan</v>
      </c>
      <c r="D16" s="9" t="str">
        <f aca="false">IFERROR(INDEX('Source Registry'!$I$2:$I$400,MATCH($B16,'Source Registry'!$A$2:$A$400,0))&amp;"","")</f>
        <v>2</v>
      </c>
      <c r="E16" s="8" t="str">
        <f aca="false">IFERROR(INDEX('Source Registry'!$J$2:$J$400,MATCH($B16,'Source Registry'!$A$2:$A$400,0))&amp;"","")</f>
        <v>Daily</v>
      </c>
      <c r="F16" s="8" t="str">
        <f aca="false">IFERROR(INDEX('Source Registry'!$U$2:$U$400,MATCH($B16,'Source Registry'!$A$2:$A$400,0))&amp;"","")</f>
        <v>Policy and regulation</v>
      </c>
      <c r="G16" s="8" t="str">
        <f aca="false">IFERROR(INDEX('Source Registry'!$V$2:$V$400,MATCH($B16,'Source Registry'!$A$2:$A$400,0))&amp;"","")</f>
        <v>Detection feed</v>
      </c>
      <c r="H16" s="8" t="str">
        <f aca="false">IFERROR(INDEX('Source Registry'!$K$2:$K$400,MATCH($B16,'Source Registry'!$A$2:$A$400,0))&amp;"","")</f>
        <v>Free tier / paid API</v>
      </c>
      <c r="I16" s="8" t="str">
        <f aca="false">IFERROR(INDEX('Source Registry'!$AB$2:$AB$400,MATCH($B16,'Source Registry'!$A$2:$A$400,0))&amp;"","")</f>
        <v>Free tier has limits</v>
      </c>
    </row>
    <row r="17" customFormat="false" ht="15" hidden="false" customHeight="true" outlineLevel="0" collapsed="false">
      <c r="A17" s="8" t="str">
        <f aca="false">IFERROR(INDEX('Source Registry'!$AA$2:$AA$400,MATCH($B17,'Source Registry'!$A$2:$A$400,0))&amp;"","")</f>
        <v>Wave 3</v>
      </c>
      <c r="B17" s="8" t="s">
        <v>492</v>
      </c>
      <c r="C17" s="8" t="str">
        <f aca="false">IFERROR(INDEX('Source Registry'!$B$2:$B$400,MATCH($B17,'Source Registry'!$A$2:$A$400,0))&amp;"","")</f>
        <v>Global Trade Alert</v>
      </c>
      <c r="D17" s="9" t="str">
        <f aca="false">IFERROR(INDEX('Source Registry'!$I$2:$I$400,MATCH($B17,'Source Registry'!$A$2:$A$400,0))&amp;"","")</f>
        <v>2</v>
      </c>
      <c r="E17" s="8" t="str">
        <f aca="false">IFERROR(INDEX('Source Registry'!$J$2:$J$400,MATCH($B17,'Source Registry'!$A$2:$A$400,0))&amp;"","")</f>
        <v>Continuous</v>
      </c>
      <c r="F17" s="8" t="str">
        <f aca="false">IFERROR(INDEX('Source Registry'!$U$2:$U$400,MATCH($B17,'Source Registry'!$A$2:$A$400,0))&amp;"","")</f>
        <v>Trade and geopolitics</v>
      </c>
      <c r="G17" s="8" t="str">
        <f aca="false">IFERROR(INDEX('Source Registry'!$V$2:$V$400,MATCH($B17,'Source Registry'!$A$2:$A$400,0))&amp;"","")</f>
        <v>Detection feed</v>
      </c>
      <c r="H17" s="8" t="str">
        <f aca="false">IFERROR(INDEX('Source Registry'!$K$2:$K$400,MATCH($B17,'Source Registry'!$A$2:$A$400,0))&amp;"","")</f>
        <v>Free web</v>
      </c>
      <c r="I17" s="8" t="str">
        <f aca="false">IFERROR(INDEX('Source Registry'!$AB$2:$AB$400,MATCH($B17,'Source Registry'!$A$2:$A$400,0))&amp;"","")</f>
        <v>Check terms and data export options</v>
      </c>
    </row>
    <row r="18" customFormat="false" ht="15" hidden="false" customHeight="true" outlineLevel="0" collapsed="false">
      <c r="A18" s="8" t="str">
        <f aca="false">IFERROR(INDEX('Source Registry'!$AA$2:$AA$400,MATCH($B18,'Source Registry'!$A$2:$A$400,0))&amp;"","")</f>
        <v>Wave 3</v>
      </c>
      <c r="B18" s="8" t="s">
        <v>282</v>
      </c>
      <c r="C18" s="8" t="str">
        <f aca="false">IFERROR(INDEX('Source Registry'!$B$2:$B$400,MATCH($B18,'Source Registry'!$A$2:$A$400,0))&amp;"","")</f>
        <v>FAS Export Sales Reporting</v>
      </c>
      <c r="D18" s="9" t="str">
        <f aca="false">IFERROR(INDEX('Source Registry'!$I$2:$I$400,MATCH($B18,'Source Registry'!$A$2:$A$400,0))&amp;"","")</f>
        <v>1</v>
      </c>
      <c r="E18" s="8" t="str">
        <f aca="false">IFERROR(INDEX('Source Registry'!$J$2:$J$400,MATCH($B18,'Source Registry'!$A$2:$A$400,0))&amp;"","")</f>
        <v>Weekly</v>
      </c>
      <c r="F18" s="8" t="str">
        <f aca="false">IFERROR(INDEX('Source Registry'!$U$2:$U$400,MATCH($B18,'Source Registry'!$A$2:$A$400,0))&amp;"","")</f>
        <v>Trade and geopolitics</v>
      </c>
      <c r="G18" s="8" t="str">
        <f aca="false">IFERROR(INDEX('Source Registry'!$V$2:$V$400,MATCH($B18,'Source Registry'!$A$2:$A$400,0))&amp;"","")</f>
        <v>Detection feed</v>
      </c>
      <c r="H18" s="8" t="str">
        <f aca="false">IFERROR(INDEX('Source Registry'!$K$2:$K$400,MATCH($B18,'Source Registry'!$A$2:$A$400,0))&amp;"","")</f>
        <v>Free download</v>
      </c>
      <c r="I18" s="8" t="str">
        <f aca="false">IFERROR(INDEX('Source Registry'!$AB$2:$AB$400,MATCH($B18,'Source Registry'!$A$2:$A$400,0))&amp;"","")</f>
        <v/>
      </c>
    </row>
    <row r="19" customFormat="false" ht="15" hidden="false" customHeight="true" outlineLevel="0" collapsed="false">
      <c r="A19" s="8" t="str">
        <f aca="false">IFERROR(INDEX('Source Registry'!$AA$2:$AA$400,MATCH($B19,'Source Registry'!$A$2:$A$400,0))&amp;"","")</f>
        <v>Wave 3</v>
      </c>
      <c r="B19" s="8" t="s">
        <v>381</v>
      </c>
      <c r="C19" s="8" t="str">
        <f aca="false">IFERROR(INDEX('Source Registry'!$B$2:$B$400,MATCH($B19,'Source Registry'!$A$2:$A$400,0))&amp;"","")</f>
        <v>APHIS animal health data</v>
      </c>
      <c r="D19" s="9" t="str">
        <f aca="false">IFERROR(INDEX('Source Registry'!$I$2:$I$400,MATCH($B19,'Source Registry'!$A$2:$A$400,0))&amp;"","")</f>
        <v>1</v>
      </c>
      <c r="E19" s="8" t="str">
        <f aca="false">IFERROR(INDEX('Source Registry'!$J$2:$J$400,MATCH($B19,'Source Registry'!$A$2:$A$400,0))&amp;"","")</f>
        <v>Event-driven</v>
      </c>
      <c r="F19" s="8" t="str">
        <f aca="false">IFERROR(INDEX('Source Registry'!$U$2:$U$400,MATCH($B19,'Source Registry'!$A$2:$A$400,0))&amp;"","")</f>
        <v>Disease and border</v>
      </c>
      <c r="G19" s="8" t="str">
        <f aca="false">IFERROR(INDEX('Source Registry'!$V$2:$V$400,MATCH($B19,'Source Registry'!$A$2:$A$400,0))&amp;"","")</f>
        <v>Detection feed</v>
      </c>
      <c r="H19" s="8" t="str">
        <f aca="false">IFERROR(INDEX('Source Registry'!$K$2:$K$400,MATCH($B19,'Source Registry'!$A$2:$A$400,0))&amp;"","")</f>
        <v>Free web</v>
      </c>
      <c r="I19" s="8" t="str">
        <f aca="false">IFERROR(INDEX('Source Registry'!$AB$2:$AB$400,MATCH($B19,'Source Registry'!$A$2:$A$400,0))&amp;"","")</f>
        <v>Web notices with no clear API; check terms</v>
      </c>
    </row>
    <row r="22" customFormat="false" ht="17.25" hidden="false" customHeight="true" outlineLevel="0" collapsed="false">
      <c r="A22" s="2" t="s">
        <v>1283</v>
      </c>
    </row>
    <row r="23" customFormat="false" ht="15" hidden="false" customHeight="true" outlineLevel="0" collapsed="false">
      <c r="A23" s="5" t="s">
        <v>1284</v>
      </c>
      <c r="C23" s="6" t="n">
        <f aca="false">COUNTA($B$5:$B$19)</f>
        <v>15</v>
      </c>
    </row>
    <row r="24" customFormat="false" ht="15" hidden="false" customHeight="true" outlineLevel="0" collapsed="false">
      <c r="A24" s="5" t="s">
        <v>9</v>
      </c>
      <c r="C24" s="6" t="n">
        <f aca="false">COUNTIF($D$5:$D$19,"2")</f>
        <v>9</v>
      </c>
    </row>
    <row r="25" customFormat="false" ht="15" hidden="false" customHeight="true" outlineLevel="0" collapsed="false">
      <c r="A25" s="5" t="s">
        <v>7</v>
      </c>
      <c r="C25" s="6" t="n">
        <f aca="false">COUNTIF($D$5:$D$19,"1")</f>
        <v>6</v>
      </c>
    </row>
    <row r="26" customFormat="false" ht="15" hidden="false" customHeight="true" outlineLevel="0" collapsed="false">
      <c r="A26" s="5" t="s">
        <v>221</v>
      </c>
      <c r="C26" s="6" t="n">
        <f aca="false">COUNTIF($A$5:$A$19,"Wave 1")</f>
        <v>6</v>
      </c>
    </row>
    <row r="27" customFormat="false" ht="15" hidden="false" customHeight="true" outlineLevel="0" collapsed="false">
      <c r="A27" s="5" t="s">
        <v>257</v>
      </c>
      <c r="C27" s="6" t="n">
        <f aca="false">COUNTIF($A$5:$A$19,"Wave 2")</f>
        <v>6</v>
      </c>
    </row>
    <row r="28" customFormat="false" ht="15" hidden="false" customHeight="true" outlineLevel="0" collapsed="false">
      <c r="A28" s="5" t="s">
        <v>287</v>
      </c>
      <c r="C28" s="6" t="n">
        <f aca="false">COUNTIF($A$5:$A$19,"Wave 3")</f>
        <v>3</v>
      </c>
    </row>
    <row r="29" customFormat="false" ht="15" hidden="false" customHeight="true" outlineLevel="0" collapsed="false">
      <c r="A29" s="5" t="s">
        <v>1285</v>
      </c>
      <c r="C29" s="6" t="n">
        <f aca="false">SUMPRODUCT(1/COUNTIF($F$5:$F$19,$F$5:$F$19))</f>
        <v>6</v>
      </c>
    </row>
    <row r="31" customFormat="false" ht="15" hidden="false" customHeight="true" outlineLevel="0" collapsed="false">
      <c r="A31" s="12" t="s">
        <v>1286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10" min="2" style="1" width="16"/>
  </cols>
  <sheetData>
    <row r="1" customFormat="false" ht="17.25" hidden="false" customHeight="true" outlineLevel="0" collapsed="false">
      <c r="A1" s="2" t="s">
        <v>1287</v>
      </c>
    </row>
    <row r="2" customFormat="false" ht="15" hidden="false" customHeight="true" outlineLevel="0" collapsed="false">
      <c r="A2" s="12" t="s">
        <v>1288</v>
      </c>
    </row>
    <row r="4" customFormat="false" ht="31.5" hidden="false" customHeight="true" outlineLevel="0" collapsed="false">
      <c r="A4" s="7" t="s">
        <v>1289</v>
      </c>
      <c r="B4" s="7" t="s">
        <v>1290</v>
      </c>
      <c r="C4" s="7" t="s">
        <v>1291</v>
      </c>
      <c r="D4" s="7" t="s">
        <v>1292</v>
      </c>
      <c r="E4" s="7" t="s">
        <v>1293</v>
      </c>
      <c r="F4" s="7" t="s">
        <v>1294</v>
      </c>
      <c r="G4" s="7" t="s">
        <v>1295</v>
      </c>
      <c r="H4" s="7" t="s">
        <v>1296</v>
      </c>
      <c r="I4" s="7" t="s">
        <v>1297</v>
      </c>
      <c r="J4" s="7" t="s">
        <v>1298</v>
      </c>
    </row>
    <row r="5" customFormat="false" ht="15" hidden="false" customHeight="true" outlineLevel="0" collapsed="false">
      <c r="A5" s="13" t="s">
        <v>176</v>
      </c>
      <c r="B5" s="14" t="n">
        <f aca="false">COUNTIF('Source Registry'!$F$2:$F$300,$A5)</f>
        <v>14</v>
      </c>
      <c r="C5" s="14" t="n">
        <f aca="false">COUNTIFS('Source Registry'!$F$2:$F$300,$A5,'Source Registry'!$I$2:$I$300,1)</f>
        <v>7</v>
      </c>
      <c r="D5" s="14" t="n">
        <f aca="false">COUNTIFS('Source Registry'!$F$2:$F$300,$A5,'Source Registry'!$I$2:$I$300,2)</f>
        <v>5</v>
      </c>
      <c r="E5" s="14" t="n">
        <f aca="false">COUNTIFS('Source Registry'!$F$2:$F$300,$A5,'Source Registry'!$I$2:$I$300,3)</f>
        <v>2</v>
      </c>
      <c r="F5" s="14" t="n">
        <f aca="false">COUNTIFS('Source Registry'!$F$2:$F$300,$A5,'Source Registry'!$G$2:$G$300,"Near-term (1-2 seasons)")</f>
        <v>1</v>
      </c>
      <c r="G5" s="14" t="n">
        <f aca="false">COUNTIFS('Source Registry'!$F$2:$F$300,$A5,'Source Registry'!$G$2:$G$300,"Long-term (3-10 yrs)")</f>
        <v>7</v>
      </c>
      <c r="H5" s="14" t="n">
        <f aca="false">COUNTIFS('Source Registry'!$F$2:$F$300,$A5,'Source Registry'!$G$2:$G$300,"Both")</f>
        <v>6</v>
      </c>
      <c r="I5" s="14" t="n">
        <f aca="false">COUNTIFS('Source Registry'!$F$2:$F$300,$A5,'Source Registry'!$T$2:$T$300,"Connected")+COUNTIFS('Source Registry'!$F$2:$F$300,$A5,'Source Registry'!$T$2:$T$300,"Live in agent")</f>
        <v>0</v>
      </c>
      <c r="J5" s="15" t="n">
        <f aca="false">IF(B5=0,0,I5/B5)</f>
        <v>0</v>
      </c>
    </row>
    <row r="6" customFormat="false" ht="15" hidden="false" customHeight="true" outlineLevel="0" collapsed="false">
      <c r="A6" s="13" t="s">
        <v>266</v>
      </c>
      <c r="B6" s="14" t="n">
        <f aca="false">COUNTIF('Source Registry'!$F$2:$F$300,$A6)</f>
        <v>19</v>
      </c>
      <c r="C6" s="14" t="n">
        <f aca="false">COUNTIFS('Source Registry'!$F$2:$F$300,$A6,'Source Registry'!$I$2:$I$300,1)</f>
        <v>15</v>
      </c>
      <c r="D6" s="14" t="n">
        <f aca="false">COUNTIFS('Source Registry'!$F$2:$F$300,$A6,'Source Registry'!$I$2:$I$300,2)</f>
        <v>4</v>
      </c>
      <c r="E6" s="14" t="n">
        <f aca="false">COUNTIFS('Source Registry'!$F$2:$F$300,$A6,'Source Registry'!$I$2:$I$300,3)</f>
        <v>0</v>
      </c>
      <c r="F6" s="14" t="n">
        <f aca="false">COUNTIFS('Source Registry'!$F$2:$F$300,$A6,'Source Registry'!$G$2:$G$300,"Near-term (1-2 seasons)")</f>
        <v>6</v>
      </c>
      <c r="G6" s="14" t="n">
        <f aca="false">COUNTIFS('Source Registry'!$F$2:$F$300,$A6,'Source Registry'!$G$2:$G$300,"Long-term (3-10 yrs)")</f>
        <v>3</v>
      </c>
      <c r="H6" s="14" t="n">
        <f aca="false">COUNTIFS('Source Registry'!$F$2:$F$300,$A6,'Source Registry'!$G$2:$G$300,"Both")</f>
        <v>10</v>
      </c>
      <c r="I6" s="14" t="n">
        <f aca="false">COUNTIFS('Source Registry'!$F$2:$F$300,$A6,'Source Registry'!$T$2:$T$300,"Connected")+COUNTIFS('Source Registry'!$F$2:$F$300,$A6,'Source Registry'!$T$2:$T$300,"Live in agent")</f>
        <v>0</v>
      </c>
      <c r="J6" s="15" t="n">
        <f aca="false">IF(B6=0,0,I6/B6)</f>
        <v>0</v>
      </c>
    </row>
    <row r="7" customFormat="false" ht="15" hidden="false" customHeight="true" outlineLevel="0" collapsed="false">
      <c r="A7" s="13" t="s">
        <v>149</v>
      </c>
      <c r="B7" s="14" t="n">
        <f aca="false">COUNTIF('Source Registry'!$F$2:$F$300,$A7)</f>
        <v>16</v>
      </c>
      <c r="C7" s="14" t="n">
        <f aca="false">COUNTIFS('Source Registry'!$F$2:$F$300,$A7,'Source Registry'!$I$2:$I$300,1)</f>
        <v>8</v>
      </c>
      <c r="D7" s="14" t="n">
        <f aca="false">COUNTIFS('Source Registry'!$F$2:$F$300,$A7,'Source Registry'!$I$2:$I$300,2)</f>
        <v>6</v>
      </c>
      <c r="E7" s="14" t="n">
        <f aca="false">COUNTIFS('Source Registry'!$F$2:$F$300,$A7,'Source Registry'!$I$2:$I$300,3)</f>
        <v>2</v>
      </c>
      <c r="F7" s="14" t="n">
        <f aca="false">COUNTIFS('Source Registry'!$F$2:$F$300,$A7,'Source Registry'!$G$2:$G$300,"Near-term (1-2 seasons)")</f>
        <v>3</v>
      </c>
      <c r="G7" s="14" t="n">
        <f aca="false">COUNTIFS('Source Registry'!$F$2:$F$300,$A7,'Source Registry'!$G$2:$G$300,"Long-term (3-10 yrs)")</f>
        <v>5</v>
      </c>
      <c r="H7" s="14" t="n">
        <f aca="false">COUNTIFS('Source Registry'!$F$2:$F$300,$A7,'Source Registry'!$G$2:$G$300,"Both")</f>
        <v>8</v>
      </c>
      <c r="I7" s="14" t="n">
        <f aca="false">COUNTIFS('Source Registry'!$F$2:$F$300,$A7,'Source Registry'!$T$2:$T$300,"Connected")+COUNTIFS('Source Registry'!$F$2:$F$300,$A7,'Source Registry'!$T$2:$T$300,"Live in agent")</f>
        <v>0</v>
      </c>
      <c r="J7" s="15" t="n">
        <f aca="false">IF(B7=0,0,I7/B7)</f>
        <v>0</v>
      </c>
    </row>
    <row r="8" customFormat="false" ht="15" hidden="false" customHeight="true" outlineLevel="0" collapsed="false">
      <c r="A8" s="13" t="s">
        <v>547</v>
      </c>
      <c r="B8" s="14" t="n">
        <f aca="false">COUNTIF('Source Registry'!$F$2:$F$300,$A8)</f>
        <v>32</v>
      </c>
      <c r="C8" s="14" t="n">
        <f aca="false">COUNTIFS('Source Registry'!$F$2:$F$300,$A8,'Source Registry'!$I$2:$I$300,1)</f>
        <v>25</v>
      </c>
      <c r="D8" s="14" t="n">
        <f aca="false">COUNTIFS('Source Registry'!$F$2:$F$300,$A8,'Source Registry'!$I$2:$I$300,2)</f>
        <v>7</v>
      </c>
      <c r="E8" s="14" t="n">
        <f aca="false">COUNTIFS('Source Registry'!$F$2:$F$300,$A8,'Source Registry'!$I$2:$I$300,3)</f>
        <v>0</v>
      </c>
      <c r="F8" s="14" t="n">
        <f aca="false">COUNTIFS('Source Registry'!$F$2:$F$300,$A8,'Source Registry'!$G$2:$G$300,"Near-term (1-2 seasons)")</f>
        <v>19</v>
      </c>
      <c r="G8" s="14" t="n">
        <f aca="false">COUNTIFS('Source Registry'!$F$2:$F$300,$A8,'Source Registry'!$G$2:$G$300,"Long-term (3-10 yrs)")</f>
        <v>7</v>
      </c>
      <c r="H8" s="14" t="n">
        <f aca="false">COUNTIFS('Source Registry'!$F$2:$F$300,$A8,'Source Registry'!$G$2:$G$300,"Both")</f>
        <v>6</v>
      </c>
      <c r="I8" s="14" t="n">
        <f aca="false">COUNTIFS('Source Registry'!$F$2:$F$300,$A8,'Source Registry'!$T$2:$T$300,"Connected")+COUNTIFS('Source Registry'!$F$2:$F$300,$A8,'Source Registry'!$T$2:$T$300,"Live in agent")</f>
        <v>0</v>
      </c>
      <c r="J8" s="15" t="n">
        <f aca="false">IF(B8=0,0,I8/B8)</f>
        <v>0</v>
      </c>
    </row>
    <row r="9" customFormat="false" ht="15" hidden="false" customHeight="true" outlineLevel="0" collapsed="false">
      <c r="A9" s="13" t="s">
        <v>346</v>
      </c>
      <c r="B9" s="14" t="n">
        <f aca="false">COUNTIF('Source Registry'!$F$2:$F$300,$A9)</f>
        <v>11</v>
      </c>
      <c r="C9" s="14" t="n">
        <f aca="false">COUNTIFS('Source Registry'!$F$2:$F$300,$A9,'Source Registry'!$I$2:$I$300,1)</f>
        <v>6</v>
      </c>
      <c r="D9" s="14" t="n">
        <f aca="false">COUNTIFS('Source Registry'!$F$2:$F$300,$A9,'Source Registry'!$I$2:$I$300,2)</f>
        <v>3</v>
      </c>
      <c r="E9" s="14" t="n">
        <f aca="false">COUNTIFS('Source Registry'!$F$2:$F$300,$A9,'Source Registry'!$I$2:$I$300,3)</f>
        <v>2</v>
      </c>
      <c r="F9" s="14" t="n">
        <f aca="false">COUNTIFS('Source Registry'!$F$2:$F$300,$A9,'Source Registry'!$G$2:$G$300,"Near-term (1-2 seasons)")</f>
        <v>2</v>
      </c>
      <c r="G9" s="14" t="n">
        <f aca="false">COUNTIFS('Source Registry'!$F$2:$F$300,$A9,'Source Registry'!$G$2:$G$300,"Long-term (3-10 yrs)")</f>
        <v>4</v>
      </c>
      <c r="H9" s="14" t="n">
        <f aca="false">COUNTIFS('Source Registry'!$F$2:$F$300,$A9,'Source Registry'!$G$2:$G$300,"Both")</f>
        <v>5</v>
      </c>
      <c r="I9" s="14" t="n">
        <f aca="false">COUNTIFS('Source Registry'!$F$2:$F$300,$A9,'Source Registry'!$T$2:$T$300,"Connected")+COUNTIFS('Source Registry'!$F$2:$F$300,$A9,'Source Registry'!$T$2:$T$300,"Live in agent")</f>
        <v>0</v>
      </c>
      <c r="J9" s="15" t="n">
        <f aca="false">IF(B9=0,0,I9/B9)</f>
        <v>0</v>
      </c>
    </row>
    <row r="10" customFormat="false" ht="15" hidden="false" customHeight="true" outlineLevel="0" collapsed="false">
      <c r="A10" s="13" t="s">
        <v>184</v>
      </c>
      <c r="B10" s="14" t="n">
        <f aca="false">COUNTIF('Source Registry'!$F$2:$F$300,$A10)</f>
        <v>16</v>
      </c>
      <c r="C10" s="14" t="n">
        <f aca="false">COUNTIFS('Source Registry'!$F$2:$F$300,$A10,'Source Registry'!$I$2:$I$300,1)</f>
        <v>9</v>
      </c>
      <c r="D10" s="14" t="n">
        <f aca="false">COUNTIFS('Source Registry'!$F$2:$F$300,$A10,'Source Registry'!$I$2:$I$300,2)</f>
        <v>4</v>
      </c>
      <c r="E10" s="14" t="n">
        <f aca="false">COUNTIFS('Source Registry'!$F$2:$F$300,$A10,'Source Registry'!$I$2:$I$300,3)</f>
        <v>3</v>
      </c>
      <c r="F10" s="14" t="n">
        <f aca="false">COUNTIFS('Source Registry'!$F$2:$F$300,$A10,'Source Registry'!$G$2:$G$300,"Near-term (1-2 seasons)")</f>
        <v>6</v>
      </c>
      <c r="G10" s="14" t="n">
        <f aca="false">COUNTIFS('Source Registry'!$F$2:$F$300,$A10,'Source Registry'!$G$2:$G$300,"Long-term (3-10 yrs)")</f>
        <v>5</v>
      </c>
      <c r="H10" s="14" t="n">
        <f aca="false">COUNTIFS('Source Registry'!$F$2:$F$300,$A10,'Source Registry'!$G$2:$G$300,"Both")</f>
        <v>5</v>
      </c>
      <c r="I10" s="14" t="n">
        <f aca="false">COUNTIFS('Source Registry'!$F$2:$F$300,$A10,'Source Registry'!$T$2:$T$300,"Connected")+COUNTIFS('Source Registry'!$F$2:$F$300,$A10,'Source Registry'!$T$2:$T$300,"Live in agent")</f>
        <v>0</v>
      </c>
      <c r="J10" s="15" t="n">
        <f aca="false">IF(B10=0,0,I10/B10)</f>
        <v>0</v>
      </c>
    </row>
    <row r="11" customFormat="false" ht="15" hidden="false" customHeight="true" outlineLevel="0" collapsed="false">
      <c r="A11" s="13" t="s">
        <v>360</v>
      </c>
      <c r="B11" s="14" t="n">
        <f aca="false">COUNTIF('Source Registry'!$F$2:$F$300,$A11)</f>
        <v>44</v>
      </c>
      <c r="C11" s="14" t="n">
        <f aca="false">COUNTIFS('Source Registry'!$F$2:$F$300,$A11,'Source Registry'!$I$2:$I$300,1)</f>
        <v>23</v>
      </c>
      <c r="D11" s="14" t="n">
        <f aca="false">COUNTIFS('Source Registry'!$F$2:$F$300,$A11,'Source Registry'!$I$2:$I$300,2)</f>
        <v>8</v>
      </c>
      <c r="E11" s="14" t="n">
        <f aca="false">COUNTIFS('Source Registry'!$F$2:$F$300,$A11,'Source Registry'!$I$2:$I$300,3)</f>
        <v>13</v>
      </c>
      <c r="F11" s="14" t="n">
        <f aca="false">COUNTIFS('Source Registry'!$F$2:$F$300,$A11,'Source Registry'!$G$2:$G$300,"Near-term (1-2 seasons)")</f>
        <v>0</v>
      </c>
      <c r="G11" s="14" t="n">
        <f aca="false">COUNTIFS('Source Registry'!$F$2:$F$300,$A11,'Source Registry'!$G$2:$G$300,"Long-term (3-10 yrs)")</f>
        <v>3</v>
      </c>
      <c r="H11" s="14" t="n">
        <f aca="false">COUNTIFS('Source Registry'!$F$2:$F$300,$A11,'Source Registry'!$G$2:$G$300,"Both")</f>
        <v>41</v>
      </c>
      <c r="I11" s="14" t="n">
        <f aca="false">COUNTIFS('Source Registry'!$F$2:$F$300,$A11,'Source Registry'!$T$2:$T$300,"Connected")+COUNTIFS('Source Registry'!$F$2:$F$300,$A11,'Source Registry'!$T$2:$T$300,"Live in agent")</f>
        <v>0</v>
      </c>
      <c r="J11" s="15" t="n">
        <f aca="false">IF(B11=0,0,I11/B11)</f>
        <v>0</v>
      </c>
    </row>
    <row r="12" customFormat="false" ht="15" hidden="false" customHeight="true" outlineLevel="0" collapsed="false">
      <c r="A12" s="13" t="s">
        <v>65</v>
      </c>
      <c r="B12" s="14" t="n">
        <f aca="false">COUNTIF('Source Registry'!$F$2:$F$300,$A12)</f>
        <v>36</v>
      </c>
      <c r="C12" s="14" t="n">
        <f aca="false">COUNTIFS('Source Registry'!$F$2:$F$300,$A12,'Source Registry'!$I$2:$I$300,1)</f>
        <v>19</v>
      </c>
      <c r="D12" s="14" t="n">
        <f aca="false">COUNTIFS('Source Registry'!$F$2:$F$300,$A12,'Source Registry'!$I$2:$I$300,2)</f>
        <v>13</v>
      </c>
      <c r="E12" s="14" t="n">
        <f aca="false">COUNTIFS('Source Registry'!$F$2:$F$300,$A12,'Source Registry'!$I$2:$I$300,3)</f>
        <v>4</v>
      </c>
      <c r="F12" s="14" t="n">
        <f aca="false">COUNTIFS('Source Registry'!$F$2:$F$300,$A12,'Source Registry'!$G$2:$G$300,"Near-term (1-2 seasons)")</f>
        <v>29</v>
      </c>
      <c r="G12" s="14" t="n">
        <f aca="false">COUNTIFS('Source Registry'!$F$2:$F$300,$A12,'Source Registry'!$G$2:$G$300,"Long-term (3-10 yrs)")</f>
        <v>2</v>
      </c>
      <c r="H12" s="14" t="n">
        <f aca="false">COUNTIFS('Source Registry'!$F$2:$F$300,$A12,'Source Registry'!$G$2:$G$300,"Both")</f>
        <v>5</v>
      </c>
      <c r="I12" s="14" t="n">
        <f aca="false">COUNTIFS('Source Registry'!$F$2:$F$300,$A12,'Source Registry'!$T$2:$T$300,"Connected")+COUNTIFS('Source Registry'!$F$2:$F$300,$A12,'Source Registry'!$T$2:$T$300,"Live in agent")</f>
        <v>0</v>
      </c>
      <c r="J12" s="15" t="n">
        <f aca="false">IF(B12=0,0,I12/B12)</f>
        <v>0</v>
      </c>
    </row>
    <row r="13" customFormat="false" ht="15" hidden="false" customHeight="true" outlineLevel="0" collapsed="false">
      <c r="A13" s="16" t="s">
        <v>1299</v>
      </c>
      <c r="B13" s="17" t="n">
        <f aca="false">SUM(B5:B12)</f>
        <v>188</v>
      </c>
      <c r="C13" s="17" t="n">
        <f aca="false">SUM(C5:C12)</f>
        <v>112</v>
      </c>
      <c r="D13" s="17" t="n">
        <f aca="false">SUM(D5:D12)</f>
        <v>50</v>
      </c>
      <c r="E13" s="17" t="n">
        <f aca="false">SUM(E5:E12)</f>
        <v>26</v>
      </c>
      <c r="F13" s="17" t="n">
        <f aca="false">SUM(F5:F12)</f>
        <v>66</v>
      </c>
      <c r="G13" s="17" t="n">
        <f aca="false">SUM(G5:G12)</f>
        <v>36</v>
      </c>
      <c r="H13" s="17" t="n">
        <f aca="false">SUM(H5:H12)</f>
        <v>86</v>
      </c>
      <c r="I13" s="17" t="n">
        <f aca="false">SUM(I5:I12)</f>
        <v>0</v>
      </c>
      <c r="J13" s="18" t="n">
        <f aca="false">IF(B13=0,0,I13/B13)</f>
        <v>0</v>
      </c>
    </row>
    <row r="14" customFormat="false" ht="15" hidden="false" customHeight="true" outlineLevel="0" collapsed="false">
      <c r="A14" s="12" t="s">
        <v>1300</v>
      </c>
      <c r="B14" s="12" t="n">
        <f aca="false">COUNTA('Source Registry'!$A$2:$A$300)</f>
        <v>188</v>
      </c>
      <c r="C14" s="12" t="str">
        <f aca="false">IF(B13=B14,"OK","Check driver labels")</f>
        <v>OK</v>
      </c>
    </row>
    <row r="16" customFormat="false" ht="17.25" hidden="false" customHeight="true" outlineLevel="0" collapsed="false">
      <c r="A16" s="2" t="s">
        <v>1301</v>
      </c>
    </row>
    <row r="17" customFormat="false" ht="31.5" hidden="false" customHeight="true" outlineLevel="0" collapsed="false">
      <c r="A17" s="7" t="s">
        <v>45</v>
      </c>
      <c r="B17" s="7" t="s">
        <v>1290</v>
      </c>
      <c r="C17" s="7" t="s">
        <v>1302</v>
      </c>
      <c r="D17" s="7" t="s">
        <v>1303</v>
      </c>
      <c r="E17" s="7" t="s">
        <v>1304</v>
      </c>
      <c r="F17" s="7" t="s">
        <v>1305</v>
      </c>
      <c r="G17" s="7" t="s">
        <v>1306</v>
      </c>
      <c r="H17" s="7" t="s">
        <v>1307</v>
      </c>
      <c r="I17" s="7" t="s">
        <v>1308</v>
      </c>
    </row>
    <row r="18" customFormat="false" ht="15" hidden="false" customHeight="true" outlineLevel="0" collapsed="false">
      <c r="A18" s="13" t="s">
        <v>63</v>
      </c>
      <c r="B18" s="14" t="n">
        <f aca="false">COUNTIF('Source Registry'!$D$2:$D$300,$A18)</f>
        <v>120</v>
      </c>
      <c r="C18" s="14" t="n">
        <f aca="false">COUNTIFS('Source Registry'!$D$2:$D$300,$A18,'Source Registry'!$I$2:$I$300,1)</f>
        <v>78</v>
      </c>
      <c r="D18" s="14" t="n">
        <f aca="false">COUNTIFS('Source Registry'!$D$2:$D$300,$A18,'Source Registry'!$I$2:$I$300,2)</f>
        <v>32</v>
      </c>
      <c r="E18" s="14" t="n">
        <f aca="false">COUNTIFS('Source Registry'!$D$2:$D$300,$A18,'Source Registry'!$I$2:$I$300,3)</f>
        <v>10</v>
      </c>
      <c r="F18" s="14" t="n">
        <f aca="false">COUNTIFS('Source Registry'!$D$2:$D$300,$A18,'Source Registry'!$E$2:$E$300,"Price &amp; market")</f>
        <v>1</v>
      </c>
      <c r="G18" s="14" t="n">
        <f aca="false">COUNTIFS('Source Registry'!$D$2:$D$300,$A18,'Source Registry'!$E$2:$E$300,"Trade flow")</f>
        <v>5</v>
      </c>
      <c r="H18" s="14" t="n">
        <f aca="false">COUNTIFS('Source Registry'!$D$2:$D$300,$A18,'Source Registry'!$E$2:$E$300,"Analyst")</f>
        <v>4</v>
      </c>
      <c r="I18" s="14" t="n">
        <f aca="false">COUNTIFS('Source Registry'!$D$2:$D$300,$A18,'Source Registry'!$E$2:$E$300,"Policy")</f>
        <v>34</v>
      </c>
    </row>
    <row r="19" customFormat="false" ht="15" hidden="false" customHeight="true" outlineLevel="0" collapsed="false">
      <c r="A19" s="13" t="s">
        <v>120</v>
      </c>
      <c r="B19" s="14" t="n">
        <f aca="false">COUNTIF('Source Registry'!$D$2:$D$300,$A19)</f>
        <v>12</v>
      </c>
      <c r="C19" s="14" t="n">
        <f aca="false">COUNTIFS('Source Registry'!$D$2:$D$300,$A19,'Source Registry'!$I$2:$I$300,1)</f>
        <v>6</v>
      </c>
      <c r="D19" s="14" t="n">
        <f aca="false">COUNTIFS('Source Registry'!$D$2:$D$300,$A19,'Source Registry'!$I$2:$I$300,2)</f>
        <v>4</v>
      </c>
      <c r="E19" s="14" t="n">
        <f aca="false">COUNTIFS('Source Registry'!$D$2:$D$300,$A19,'Source Registry'!$I$2:$I$300,3)</f>
        <v>2</v>
      </c>
      <c r="F19" s="14" t="n">
        <f aca="false">COUNTIFS('Source Registry'!$D$2:$D$300,$A19,'Source Registry'!$E$2:$E$300,"Price &amp; market")</f>
        <v>4</v>
      </c>
      <c r="G19" s="14" t="n">
        <f aca="false">COUNTIFS('Source Registry'!$D$2:$D$300,$A19,'Source Registry'!$E$2:$E$300,"Trade flow")</f>
        <v>1</v>
      </c>
      <c r="H19" s="14" t="n">
        <f aca="false">COUNTIFS('Source Registry'!$D$2:$D$300,$A19,'Source Registry'!$E$2:$E$300,"Analyst")</f>
        <v>1</v>
      </c>
      <c r="I19" s="14" t="n">
        <f aca="false">COUNTIFS('Source Registry'!$D$2:$D$300,$A19,'Source Registry'!$E$2:$E$300,"Policy")</f>
        <v>2</v>
      </c>
    </row>
    <row r="20" customFormat="false" ht="15" hidden="false" customHeight="true" outlineLevel="0" collapsed="false">
      <c r="A20" s="13" t="s">
        <v>107</v>
      </c>
      <c r="B20" s="14" t="n">
        <f aca="false">COUNTIF('Source Registry'!$D$2:$D$300,$A20)</f>
        <v>14</v>
      </c>
      <c r="C20" s="14" t="n">
        <f aca="false">COUNTIFS('Source Registry'!$D$2:$D$300,$A20,'Source Registry'!$I$2:$I$300,1)</f>
        <v>7</v>
      </c>
      <c r="D20" s="14" t="n">
        <f aca="false">COUNTIFS('Source Registry'!$D$2:$D$300,$A20,'Source Registry'!$I$2:$I$300,2)</f>
        <v>4</v>
      </c>
      <c r="E20" s="14" t="n">
        <f aca="false">COUNTIFS('Source Registry'!$D$2:$D$300,$A20,'Source Registry'!$I$2:$I$300,3)</f>
        <v>3</v>
      </c>
      <c r="F20" s="14" t="n">
        <f aca="false">COUNTIFS('Source Registry'!$D$2:$D$300,$A20,'Source Registry'!$E$2:$E$300,"Price &amp; market")</f>
        <v>1</v>
      </c>
      <c r="G20" s="14" t="n">
        <f aca="false">COUNTIFS('Source Registry'!$D$2:$D$300,$A20,'Source Registry'!$E$2:$E$300,"Trade flow")</f>
        <v>1</v>
      </c>
      <c r="H20" s="14" t="n">
        <f aca="false">COUNTIFS('Source Registry'!$D$2:$D$300,$A20,'Source Registry'!$E$2:$E$300,"Analyst")</f>
        <v>0</v>
      </c>
      <c r="I20" s="14" t="n">
        <f aca="false">COUNTIFS('Source Registry'!$D$2:$D$300,$A20,'Source Registry'!$E$2:$E$300,"Policy")</f>
        <v>4</v>
      </c>
    </row>
    <row r="21" customFormat="false" ht="15" hidden="false" customHeight="true" outlineLevel="0" collapsed="false">
      <c r="A21" s="13" t="s">
        <v>114</v>
      </c>
      <c r="B21" s="14" t="n">
        <f aca="false">COUNTIF('Source Registry'!$D$2:$D$300,$A21)</f>
        <v>15</v>
      </c>
      <c r="C21" s="14" t="n">
        <f aca="false">COUNTIFS('Source Registry'!$D$2:$D$300,$A21,'Source Registry'!$I$2:$I$300,1)</f>
        <v>6</v>
      </c>
      <c r="D21" s="14" t="n">
        <f aca="false">COUNTIFS('Source Registry'!$D$2:$D$300,$A21,'Source Registry'!$I$2:$I$300,2)</f>
        <v>3</v>
      </c>
      <c r="E21" s="14" t="n">
        <f aca="false">COUNTIFS('Source Registry'!$D$2:$D$300,$A21,'Source Registry'!$I$2:$I$300,3)</f>
        <v>6</v>
      </c>
      <c r="F21" s="14" t="n">
        <f aca="false">COUNTIFS('Source Registry'!$D$2:$D$300,$A21,'Source Registry'!$E$2:$E$300,"Price &amp; market")</f>
        <v>2</v>
      </c>
      <c r="G21" s="14" t="n">
        <f aca="false">COUNTIFS('Source Registry'!$D$2:$D$300,$A21,'Source Registry'!$E$2:$E$300,"Trade flow")</f>
        <v>0</v>
      </c>
      <c r="H21" s="14" t="n">
        <f aca="false">COUNTIFS('Source Registry'!$D$2:$D$300,$A21,'Source Registry'!$E$2:$E$300,"Analyst")</f>
        <v>2</v>
      </c>
      <c r="I21" s="14" t="n">
        <f aca="false">COUNTIFS('Source Registry'!$D$2:$D$300,$A21,'Source Registry'!$E$2:$E$300,"Policy")</f>
        <v>8</v>
      </c>
    </row>
    <row r="22" customFormat="false" ht="15" hidden="false" customHeight="true" outlineLevel="0" collapsed="false">
      <c r="A22" s="13" t="s">
        <v>141</v>
      </c>
      <c r="B22" s="14" t="n">
        <f aca="false">COUNTIF('Source Registry'!$D$2:$D$300,$A22)</f>
        <v>5</v>
      </c>
      <c r="C22" s="14" t="n">
        <f aca="false">COUNTIFS('Source Registry'!$D$2:$D$300,$A22,'Source Registry'!$I$2:$I$300,1)</f>
        <v>3</v>
      </c>
      <c r="D22" s="14" t="n">
        <f aca="false">COUNTIFS('Source Registry'!$D$2:$D$300,$A22,'Source Registry'!$I$2:$I$300,2)</f>
        <v>1</v>
      </c>
      <c r="E22" s="14" t="n">
        <f aca="false">COUNTIFS('Source Registry'!$D$2:$D$300,$A22,'Source Registry'!$I$2:$I$300,3)</f>
        <v>1</v>
      </c>
      <c r="F22" s="14" t="n">
        <f aca="false">COUNTIFS('Source Registry'!$D$2:$D$300,$A22,'Source Registry'!$E$2:$E$300,"Price &amp; market")</f>
        <v>1</v>
      </c>
      <c r="G22" s="14" t="n">
        <f aca="false">COUNTIFS('Source Registry'!$D$2:$D$300,$A22,'Source Registry'!$E$2:$E$300,"Trade flow")</f>
        <v>0</v>
      </c>
      <c r="H22" s="14" t="n">
        <f aca="false">COUNTIFS('Source Registry'!$D$2:$D$300,$A22,'Source Registry'!$E$2:$E$300,"Analyst")</f>
        <v>0</v>
      </c>
      <c r="I22" s="14" t="n">
        <f aca="false">COUNTIFS('Source Registry'!$D$2:$D$300,$A22,'Source Registry'!$E$2:$E$300,"Policy")</f>
        <v>3</v>
      </c>
    </row>
    <row r="23" customFormat="false" ht="15" hidden="false" customHeight="true" outlineLevel="0" collapsed="false">
      <c r="A23" s="13" t="s">
        <v>241</v>
      </c>
      <c r="B23" s="14" t="n">
        <f aca="false">COUNTIF('Source Registry'!$D$2:$D$300,$A23)</f>
        <v>6</v>
      </c>
      <c r="C23" s="14" t="n">
        <f aca="false">COUNTIFS('Source Registry'!$D$2:$D$300,$A23,'Source Registry'!$I$2:$I$300,1)</f>
        <v>2</v>
      </c>
      <c r="D23" s="14" t="n">
        <f aca="false">COUNTIFS('Source Registry'!$D$2:$D$300,$A23,'Source Registry'!$I$2:$I$300,2)</f>
        <v>3</v>
      </c>
      <c r="E23" s="14" t="n">
        <f aca="false">COUNTIFS('Source Registry'!$D$2:$D$300,$A23,'Source Registry'!$I$2:$I$300,3)</f>
        <v>1</v>
      </c>
      <c r="F23" s="14" t="n">
        <f aca="false">COUNTIFS('Source Registry'!$D$2:$D$300,$A23,'Source Registry'!$E$2:$E$300,"Price &amp; market")</f>
        <v>3</v>
      </c>
      <c r="G23" s="14" t="n">
        <f aca="false">COUNTIFS('Source Registry'!$D$2:$D$300,$A23,'Source Registry'!$E$2:$E$300,"Trade flow")</f>
        <v>0</v>
      </c>
      <c r="H23" s="14" t="n">
        <f aca="false">COUNTIFS('Source Registry'!$D$2:$D$300,$A23,'Source Registry'!$E$2:$E$300,"Analyst")</f>
        <v>0</v>
      </c>
      <c r="I23" s="14" t="n">
        <f aca="false">COUNTIFS('Source Registry'!$D$2:$D$300,$A23,'Source Registry'!$E$2:$E$300,"Policy")</f>
        <v>2</v>
      </c>
    </row>
    <row r="24" customFormat="false" ht="15" hidden="false" customHeight="true" outlineLevel="0" collapsed="false">
      <c r="A24" s="13" t="s">
        <v>164</v>
      </c>
      <c r="B24" s="14" t="n">
        <f aca="false">COUNTIF('Source Registry'!$D$2:$D$300,$A24)</f>
        <v>10</v>
      </c>
      <c r="C24" s="14" t="n">
        <f aca="false">COUNTIFS('Source Registry'!$D$2:$D$300,$A24,'Source Registry'!$I$2:$I$300,1)</f>
        <v>7</v>
      </c>
      <c r="D24" s="14" t="n">
        <f aca="false">COUNTIFS('Source Registry'!$D$2:$D$300,$A24,'Source Registry'!$I$2:$I$300,2)</f>
        <v>1</v>
      </c>
      <c r="E24" s="14" t="n">
        <f aca="false">COUNTIFS('Source Registry'!$D$2:$D$300,$A24,'Source Registry'!$I$2:$I$300,3)</f>
        <v>2</v>
      </c>
      <c r="F24" s="14" t="n">
        <f aca="false">COUNTIFS('Source Registry'!$D$2:$D$300,$A24,'Source Registry'!$E$2:$E$300,"Price &amp; market")</f>
        <v>0</v>
      </c>
      <c r="G24" s="14" t="n">
        <f aca="false">COUNTIFS('Source Registry'!$D$2:$D$300,$A24,'Source Registry'!$E$2:$E$300,"Trade flow")</f>
        <v>0</v>
      </c>
      <c r="H24" s="14" t="n">
        <f aca="false">COUNTIFS('Source Registry'!$D$2:$D$300,$A24,'Source Registry'!$E$2:$E$300,"Analyst")</f>
        <v>2</v>
      </c>
      <c r="I24" s="14" t="n">
        <f aca="false">COUNTIFS('Source Registry'!$D$2:$D$300,$A24,'Source Registry'!$E$2:$E$300,"Policy")</f>
        <v>1</v>
      </c>
    </row>
    <row r="25" customFormat="false" ht="15" hidden="false" customHeight="true" outlineLevel="0" collapsed="false">
      <c r="A25" s="13" t="s">
        <v>184</v>
      </c>
      <c r="B25" s="14" t="n">
        <f aca="false">COUNTIF('Source Registry'!$D$2:$D$300,$A25)</f>
        <v>6</v>
      </c>
      <c r="C25" s="14" t="n">
        <f aca="false">COUNTIFS('Source Registry'!$D$2:$D$300,$A25,'Source Registry'!$I$2:$I$300,1)</f>
        <v>3</v>
      </c>
      <c r="D25" s="14" t="n">
        <f aca="false">COUNTIFS('Source Registry'!$D$2:$D$300,$A25,'Source Registry'!$I$2:$I$300,2)</f>
        <v>2</v>
      </c>
      <c r="E25" s="14" t="n">
        <f aca="false">COUNTIFS('Source Registry'!$D$2:$D$300,$A25,'Source Registry'!$I$2:$I$300,3)</f>
        <v>1</v>
      </c>
      <c r="F25" s="14" t="n">
        <f aca="false">COUNTIFS('Source Registry'!$D$2:$D$300,$A25,'Source Registry'!$E$2:$E$300,"Price &amp; market")</f>
        <v>0</v>
      </c>
      <c r="G25" s="14" t="n">
        <f aca="false">COUNTIFS('Source Registry'!$D$2:$D$300,$A25,'Source Registry'!$E$2:$E$300,"Trade flow")</f>
        <v>0</v>
      </c>
      <c r="H25" s="14" t="n">
        <f aca="false">COUNTIFS('Source Registry'!$D$2:$D$300,$A25,'Source Registry'!$E$2:$E$300,"Analyst")</f>
        <v>1</v>
      </c>
      <c r="I25" s="14" t="n">
        <f aca="false">COUNTIFS('Source Registry'!$D$2:$D$300,$A25,'Source Registry'!$E$2:$E$300,"Policy")</f>
        <v>0</v>
      </c>
    </row>
    <row r="27" customFormat="false" ht="15" hidden="false" customHeight="true" outlineLevel="0" collapsed="false">
      <c r="A27" s="12" t="s">
        <v>1309</v>
      </c>
    </row>
    <row r="29" customFormat="false" ht="17.25" hidden="false" customHeight="true" outlineLevel="0" collapsed="false">
      <c r="A29" s="2" t="s">
        <v>1310</v>
      </c>
    </row>
    <row r="30" customFormat="false" ht="15" hidden="false" customHeight="true" outlineLevel="0" collapsed="false">
      <c r="A30" s="7" t="s">
        <v>29</v>
      </c>
      <c r="B30" s="7" t="s">
        <v>1311</v>
      </c>
      <c r="C30" s="7" t="s">
        <v>1312</v>
      </c>
      <c r="D30" s="7" t="s">
        <v>75</v>
      </c>
      <c r="E30" s="7" t="s">
        <v>92</v>
      </c>
    </row>
    <row r="31" customFormat="false" ht="15" hidden="false" customHeight="true" outlineLevel="0" collapsed="false">
      <c r="A31" s="13" t="s">
        <v>102</v>
      </c>
      <c r="B31" s="14" t="n">
        <f aca="false">COUNTIF('Source Registry'!$O$2:$O$300,$A31)</f>
        <v>99</v>
      </c>
      <c r="C31" s="14" t="n">
        <f aca="false">COUNTIFS('Source Registry'!$O$2:$O$300,$A31,'Source Registry'!$R$2:$R$300,"Yes")</f>
        <v>98</v>
      </c>
      <c r="D31" s="14" t="n">
        <f aca="false">COUNTIFS('Source Registry'!$O$2:$O$300,$A31,'Source Registry'!$R$2:$R$300,"Partial")</f>
        <v>1</v>
      </c>
      <c r="E31" s="14" t="n">
        <f aca="false">COUNTIFS('Source Registry'!$O$2:$O$300,$A31,'Source Registry'!$R$2:$R$300,"No")</f>
        <v>0</v>
      </c>
    </row>
    <row r="32" customFormat="false" ht="15" hidden="false" customHeight="true" outlineLevel="0" collapsed="false">
      <c r="A32" s="13" t="s">
        <v>214</v>
      </c>
      <c r="B32" s="14" t="n">
        <f aca="false">COUNTIF('Source Registry'!$O$2:$O$300,$A32)</f>
        <v>10</v>
      </c>
      <c r="C32" s="14" t="n">
        <f aca="false">COUNTIFS('Source Registry'!$O$2:$O$300,$A32,'Source Registry'!$R$2:$R$300,"Yes")</f>
        <v>8</v>
      </c>
      <c r="D32" s="14" t="n">
        <f aca="false">COUNTIFS('Source Registry'!$O$2:$O$300,$A32,'Source Registry'!$R$2:$R$300,"Partial")</f>
        <v>2</v>
      </c>
      <c r="E32" s="14" t="n">
        <f aca="false">COUNTIFS('Source Registry'!$O$2:$O$300,$A32,'Source Registry'!$R$2:$R$300,"No")</f>
        <v>0</v>
      </c>
    </row>
    <row r="33" customFormat="false" ht="15" hidden="false" customHeight="true" outlineLevel="0" collapsed="false">
      <c r="A33" s="13" t="s">
        <v>129</v>
      </c>
      <c r="B33" s="14" t="n">
        <f aca="false">COUNTIF('Source Registry'!$O$2:$O$300,$A33)</f>
        <v>35</v>
      </c>
      <c r="C33" s="14" t="n">
        <f aca="false">COUNTIFS('Source Registry'!$O$2:$O$300,$A33,'Source Registry'!$R$2:$R$300,"Yes")</f>
        <v>1</v>
      </c>
      <c r="D33" s="14" t="n">
        <f aca="false">COUNTIFS('Source Registry'!$O$2:$O$300,$A33,'Source Registry'!$R$2:$R$300,"Partial")</f>
        <v>18</v>
      </c>
      <c r="E33" s="14" t="n">
        <f aca="false">COUNTIFS('Source Registry'!$O$2:$O$300,$A33,'Source Registry'!$R$2:$R$300,"No")</f>
        <v>16</v>
      </c>
    </row>
    <row r="34" customFormat="false" ht="15" hidden="false" customHeight="true" outlineLevel="0" collapsed="false">
      <c r="A34" s="13" t="s">
        <v>73</v>
      </c>
      <c r="B34" s="14" t="n">
        <f aca="false">COUNTIF('Source Registry'!$O$2:$O$300,$A34)</f>
        <v>33</v>
      </c>
      <c r="C34" s="14" t="n">
        <f aca="false">COUNTIFS('Source Registry'!$O$2:$O$300,$A34,'Source Registry'!$R$2:$R$300,"Yes")</f>
        <v>3</v>
      </c>
      <c r="D34" s="14" t="n">
        <f aca="false">COUNTIFS('Source Registry'!$O$2:$O$300,$A34,'Source Registry'!$R$2:$R$300,"Partial")</f>
        <v>29</v>
      </c>
      <c r="E34" s="14" t="n">
        <f aca="false">COUNTIFS('Source Registry'!$O$2:$O$300,$A34,'Source Registry'!$R$2:$R$300,"No")</f>
        <v>1</v>
      </c>
    </row>
    <row r="35" customFormat="false" ht="15" hidden="false" customHeight="true" outlineLevel="0" collapsed="false">
      <c r="A35" s="13" t="s">
        <v>466</v>
      </c>
      <c r="B35" s="14" t="n">
        <f aca="false">COUNTIF('Source Registry'!$O$2:$O$300,$A35)</f>
        <v>11</v>
      </c>
      <c r="C35" s="14" t="n">
        <f aca="false">COUNTIFS('Source Registry'!$O$2:$O$300,$A35,'Source Registry'!$R$2:$R$300,"Yes")</f>
        <v>0</v>
      </c>
      <c r="D35" s="14" t="n">
        <f aca="false">COUNTIFS('Source Registry'!$O$2:$O$300,$A35,'Source Registry'!$R$2:$R$300,"Partial")</f>
        <v>0</v>
      </c>
      <c r="E35" s="14" t="n">
        <f aca="false">COUNTIFS('Source Registry'!$O$2:$O$300,$A35,'Source Registry'!$R$2:$R$300,"No")</f>
        <v>11</v>
      </c>
    </row>
    <row r="37" customFormat="false" ht="15" hidden="false" customHeight="true" outlineLevel="0" collapsed="false">
      <c r="A37" s="5" t="s">
        <v>1313</v>
      </c>
      <c r="B37" s="19" t="n">
        <f aca="false">COUNTA('Source Registry'!$A$2:$A$300)</f>
        <v>188</v>
      </c>
    </row>
    <row r="38" customFormat="false" ht="15" hidden="false" customHeight="true" outlineLevel="0" collapsed="false">
      <c r="A38" s="5" t="s">
        <v>1314</v>
      </c>
      <c r="B38" s="19" t="n">
        <f aca="false">SUMPRODUCT(('Source Registry'!$Q$2:$Q$300&lt;&gt;"")/(COUNTIF('Source Registry'!$Q$2:$Q$300,'Source Registry'!$Q$2:$Q$300)+('Source Registry'!$Q$2:$Q$300="")))</f>
        <v>161</v>
      </c>
    </row>
    <row r="39" customFormat="false" ht="15" hidden="false" customHeight="true" outlineLevel="0" collapsed="false">
      <c r="A39" s="5" t="s">
        <v>1315</v>
      </c>
      <c r="B39" s="19" t="n">
        <f aca="false">COUNTIF('Source Registry'!$R$2:$R$300,"No")</f>
        <v>28</v>
      </c>
    </row>
    <row r="40" customFormat="false" ht="15" hidden="false" customHeight="true" outlineLevel="0" collapsed="false">
      <c r="A40" s="5" t="s">
        <v>1316</v>
      </c>
      <c r="B40" s="20" t="n">
        <f aca="false">IF(B37=0,0,B38/B37)</f>
        <v>0.856382978723404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2"/>
    <col collapsed="false" customWidth="true" hidden="false" outlineLevel="0" max="3" min="3" style="1" width="34"/>
    <col collapsed="false" customWidth="true" hidden="false" outlineLevel="0" max="4" min="4" style="1" width="22"/>
    <col collapsed="false" customWidth="true" hidden="false" outlineLevel="0" max="5" min="5" style="1" width="10"/>
    <col collapsed="false" customWidth="true" hidden="false" outlineLevel="0" max="6" min="6" style="1" width="30"/>
    <col collapsed="false" customWidth="true" hidden="false" outlineLevel="0" max="7" min="7" style="1" width="16"/>
    <col collapsed="false" customWidth="true" hidden="false" outlineLevel="0" max="8" min="8" style="1" width="28"/>
    <col collapsed="false" customWidth="true" hidden="false" outlineLevel="0" max="9" min="9" style="1" width="18"/>
  </cols>
  <sheetData>
    <row r="1" customFormat="false" ht="17.25" hidden="false" customHeight="true" outlineLevel="0" collapsed="false">
      <c r="A1" s="2" t="s">
        <v>1317</v>
      </c>
    </row>
    <row r="2" customFormat="false" ht="15" hidden="false" customHeight="true" outlineLevel="0" collapsed="false">
      <c r="A2" s="12" t="s">
        <v>1318</v>
      </c>
    </row>
    <row r="4" customFormat="false" ht="43.5" hidden="false" customHeight="true" outlineLevel="0" collapsed="false">
      <c r="A4" s="7" t="s">
        <v>1319</v>
      </c>
      <c r="B4" s="7" t="s">
        <v>1320</v>
      </c>
      <c r="C4" s="7" t="s">
        <v>43</v>
      </c>
      <c r="D4" s="7" t="s">
        <v>29</v>
      </c>
      <c r="E4" s="7" t="s">
        <v>31</v>
      </c>
      <c r="F4" s="7" t="s">
        <v>1321</v>
      </c>
      <c r="G4" s="7" t="s">
        <v>33</v>
      </c>
      <c r="H4" s="7" t="s">
        <v>55</v>
      </c>
      <c r="I4" s="7" t="s">
        <v>1322</v>
      </c>
    </row>
    <row r="5" customFormat="false" ht="15" hidden="false" customHeight="true" outlineLevel="0" collapsed="false">
      <c r="A5" s="8" t="n">
        <v>1</v>
      </c>
      <c r="B5" s="11" t="s">
        <v>123</v>
      </c>
      <c r="C5" s="8" t="str">
        <f aca="false">IF(B5="","",IFERROR(INDEX('Source Registry'!$B$2:$B$300,MATCH(B5,'Source Registry'!$A$2:$A$300,0)),"ID not found"))</f>
        <v>ERS Dairy and Livestock Outlooks</v>
      </c>
      <c r="D5" s="8" t="str">
        <f aca="false">IF(B5="","",IFERROR(INDEX('Source Registry'!$O$2:$O$300,MATCH(B5,'Source Registry'!$A$2:$A$300,0))&amp;"",""))</f>
        <v>Derived</v>
      </c>
      <c r="E5" s="8" t="str">
        <f aca="false">IF(B5="","",IFERROR(INDEX('Source Registry'!$Q$2:$Q$300,MATCH(B5,'Source Registry'!$A$2:$A$300,0))&amp;"",""))</f>
        <v>S001</v>
      </c>
      <c r="F5" s="8" t="str">
        <f aca="false">IF(E5="","",IFERROR(INDEX('Source Registry'!$B$2:$B$300,MATCH(E5,'Source Registry'!$A$2:$A$300,0)),""))</f>
        <v>WASDE</v>
      </c>
      <c r="G5" s="8" t="str">
        <f aca="false">IF(B5="","",IFERROR(INDEX('Source Registry'!$R$2:$R$300,MATCH(B5,'Source Registry'!$A$2:$A$300,0))&amp;"",""))</f>
        <v>No</v>
      </c>
      <c r="H5" s="8" t="str">
        <f aca="false">IF(B5="","",IFERROR(INDEX('Source Registry'!$P$2:$P$300,MATCH(B5,'Source Registry'!$A$2:$A$300,0))&amp;"",""))</f>
        <v>S001, S006, S017, S005</v>
      </c>
      <c r="I5" s="8" t="n">
        <f aca="false">IF(B5="","",SUMPRODUCT(($B$5:$B$9&lt;&gt;"")*($B$5:$B$9&lt;&gt;B5)*ISNUMBER(SEARCH($B$5:$B$9,H5))))</f>
        <v>1</v>
      </c>
    </row>
    <row r="6" customFormat="false" ht="15" hidden="false" customHeight="true" outlineLevel="0" collapsed="false">
      <c r="A6" s="8" t="n">
        <v>2</v>
      </c>
      <c r="B6" s="11" t="s">
        <v>60</v>
      </c>
      <c r="C6" s="8" t="str">
        <f aca="false">IF(B6="","",IFERROR(INDEX('Source Registry'!$B$2:$B$300,MATCH(B6,'Source Registry'!$A$2:$A$300,0)),"ID not found"))</f>
        <v>WASDE</v>
      </c>
      <c r="D6" s="8" t="str">
        <f aca="false">IF(B6="","",IFERROR(INDEX('Source Registry'!$O$2:$O$300,MATCH(B6,'Source Registry'!$A$2:$A$300,0))&amp;"",""))</f>
        <v>Mixed</v>
      </c>
      <c r="E6" s="8" t="str">
        <f aca="false">IF(B6="","",IFERROR(INDEX('Source Registry'!$Q$2:$Q$300,MATCH(B6,'Source Registry'!$A$2:$A$300,0))&amp;"",""))</f>
        <v>S001</v>
      </c>
      <c r="F6" s="8" t="str">
        <f aca="false">IF(E6="","",IFERROR(INDEX('Source Registry'!$B$2:$B$300,MATCH(E6,'Source Registry'!$A$2:$A$300,0)),""))</f>
        <v>WASDE</v>
      </c>
      <c r="G6" s="8" t="str">
        <f aca="false">IF(B6="","",IFERROR(INDEX('Source Registry'!$R$2:$R$300,MATCH(B6,'Source Registry'!$A$2:$A$300,0))&amp;"",""))</f>
        <v>Partial</v>
      </c>
      <c r="H6" s="8" t="str">
        <f aca="false">IF(B6="","",IFERROR(INDEX('Source Registry'!$P$2:$P$300,MATCH(B6,'Source Registry'!$A$2:$A$300,0))&amp;"",""))</f>
        <v>S003, S025, S026, S027</v>
      </c>
      <c r="I6" s="8" t="n">
        <f aca="false">IF(B6="","",SUMPRODUCT(($B$5:$B$9&lt;&gt;"")*($B$5:$B$9&lt;&gt;B6)*ISNUMBER(SEARCH($B$5:$B$9,H6))))</f>
        <v>0</v>
      </c>
    </row>
    <row r="7" customFormat="false" ht="15" hidden="false" customHeight="true" outlineLevel="0" collapsed="false">
      <c r="A7" s="8" t="n">
        <v>3</v>
      </c>
      <c r="B7" s="11" t="s">
        <v>405</v>
      </c>
      <c r="C7" s="8" t="str">
        <f aca="false">IF(B7="","",IFERROR(INDEX('Source Registry'!$B$2:$B$300,MATCH(B7,'Source Registry'!$A$2:$A$300,0)),"ID not found"))</f>
        <v>farmdoc daily</v>
      </c>
      <c r="D7" s="8" t="str">
        <f aca="false">IF(B7="","",IFERROR(INDEX('Source Registry'!$O$2:$O$300,MATCH(B7,'Source Registry'!$A$2:$A$300,0))&amp;"",""))</f>
        <v>Derived</v>
      </c>
      <c r="E7" s="8" t="str">
        <f aca="false">IF(B7="","",IFERROR(INDEX('Source Registry'!$Q$2:$Q$300,MATCH(B7,'Source Registry'!$A$2:$A$300,0))&amp;"",""))</f>
        <v>S001</v>
      </c>
      <c r="F7" s="8" t="str">
        <f aca="false">IF(E7="","",IFERROR(INDEX('Source Registry'!$B$2:$B$300,MATCH(E7,'Source Registry'!$A$2:$A$300,0)),""))</f>
        <v>WASDE</v>
      </c>
      <c r="G7" s="8" t="str">
        <f aca="false">IF(B7="","",IFERROR(INDEX('Source Registry'!$R$2:$R$300,MATCH(B7,'Source Registry'!$A$2:$A$300,0))&amp;"",""))</f>
        <v>No</v>
      </c>
      <c r="H7" s="8" t="str">
        <f aca="false">IF(B7="","",IFERROR(INDEX('Source Registry'!$P$2:$P$300,MATCH(B7,'Source Registry'!$A$2:$A$300,0))&amp;"",""))</f>
        <v>S001, S003, S022, S023</v>
      </c>
      <c r="I7" s="8" t="n">
        <f aca="false">IF(B7="","",SUMPRODUCT(($B$5:$B$9&lt;&gt;"")*($B$5:$B$9&lt;&gt;B7)*ISNUMBER(SEARCH($B$5:$B$9,H7))))</f>
        <v>1</v>
      </c>
    </row>
    <row r="8" customFormat="false" ht="15" hidden="false" customHeight="true" outlineLevel="0" collapsed="false">
      <c r="A8" s="8" t="n">
        <v>4</v>
      </c>
      <c r="B8" s="11"/>
      <c r="C8" s="8" t="str">
        <f aca="false">IF(B8="","",IFERROR(INDEX('Source Registry'!$B$2:$B$300,MATCH(B8,'Source Registry'!$A$2:$A$300,0)),"ID not found"))</f>
        <v/>
      </c>
      <c r="D8" s="8" t="str">
        <f aca="false">IF(B8="","",IFERROR(INDEX('Source Registry'!$O$2:$O$300,MATCH(B8,'Source Registry'!$A$2:$A$300,0))&amp;"",""))</f>
        <v/>
      </c>
      <c r="E8" s="8" t="str">
        <f aca="false">IF(B8="","",IFERROR(INDEX('Source Registry'!$Q$2:$Q$300,MATCH(B8,'Source Registry'!$A$2:$A$300,0))&amp;"",""))</f>
        <v/>
      </c>
      <c r="F8" s="8" t="str">
        <f aca="false">IF(E8="","",IFERROR(INDEX('Source Registry'!$B$2:$B$300,MATCH(E8,'Source Registry'!$A$2:$A$300,0)),""))</f>
        <v/>
      </c>
      <c r="G8" s="8" t="str">
        <f aca="false">IF(B8="","",IFERROR(INDEX('Source Registry'!$R$2:$R$300,MATCH(B8,'Source Registry'!$A$2:$A$300,0))&amp;"",""))</f>
        <v/>
      </c>
      <c r="H8" s="8" t="str">
        <f aca="false">IF(B8="","",IFERROR(INDEX('Source Registry'!$P$2:$P$300,MATCH(B8,'Source Registry'!$A$2:$A$300,0))&amp;"",""))</f>
        <v/>
      </c>
      <c r="I8" s="8" t="str">
        <f aca="false">IF(B8="","",SUMPRODUCT(($B$5:$B$9&lt;&gt;"")*($B$5:$B$9&lt;&gt;B8)*ISNUMBER(SEARCH($B$5:$B$9,H8))))</f>
        <v/>
      </c>
    </row>
    <row r="9" customFormat="false" ht="15" hidden="false" customHeight="true" outlineLevel="0" collapsed="false">
      <c r="A9" s="8" t="n">
        <v>5</v>
      </c>
      <c r="B9" s="11"/>
      <c r="C9" s="8" t="str">
        <f aca="false">IF(B9="","",IFERROR(INDEX('Source Registry'!$B$2:$B$300,MATCH(B9,'Source Registry'!$A$2:$A$300,0)),"ID not found"))</f>
        <v/>
      </c>
      <c r="D9" s="8" t="str">
        <f aca="false">IF(B9="","",IFERROR(INDEX('Source Registry'!$O$2:$O$300,MATCH(B9,'Source Registry'!$A$2:$A$300,0))&amp;"",""))</f>
        <v/>
      </c>
      <c r="E9" s="8" t="str">
        <f aca="false">IF(B9="","",IFERROR(INDEX('Source Registry'!$Q$2:$Q$300,MATCH(B9,'Source Registry'!$A$2:$A$300,0))&amp;"",""))</f>
        <v/>
      </c>
      <c r="F9" s="8" t="str">
        <f aca="false">IF(E9="","",IFERROR(INDEX('Source Registry'!$B$2:$B$300,MATCH(E9,'Source Registry'!$A$2:$A$300,0)),""))</f>
        <v/>
      </c>
      <c r="G9" s="8" t="str">
        <f aca="false">IF(B9="","",IFERROR(INDEX('Source Registry'!$R$2:$R$300,MATCH(B9,'Source Registry'!$A$2:$A$300,0))&amp;"",""))</f>
        <v/>
      </c>
      <c r="H9" s="8" t="str">
        <f aca="false">IF(B9="","",IFERROR(INDEX('Source Registry'!$P$2:$P$300,MATCH(B9,'Source Registry'!$A$2:$A$300,0))&amp;"",""))</f>
        <v/>
      </c>
      <c r="I9" s="8" t="str">
        <f aca="false">IF(B9="","",SUMPRODUCT(($B$5:$B$9&lt;&gt;"")*($B$5:$B$9&lt;&gt;B9)*ISNUMBER(SEARCH($B$5:$B$9,H9))))</f>
        <v/>
      </c>
    </row>
    <row r="11" customFormat="false" ht="15" hidden="false" customHeight="true" outlineLevel="0" collapsed="false">
      <c r="A11" s="5" t="s">
        <v>1323</v>
      </c>
      <c r="C11" s="6" t="n">
        <f aca="false">COUNTIF(B5:B9,"?*")</f>
        <v>3</v>
      </c>
    </row>
    <row r="12" customFormat="false" ht="15" hidden="false" customHeight="true" outlineLevel="0" collapsed="false">
      <c r="A12" s="5" t="s">
        <v>1324</v>
      </c>
      <c r="C12" s="6" t="n">
        <f aca="false">SUMPRODUCT((E5:E9&lt;&gt;"")/(COUNTIF(E5:E9,E5:E9)+(E5:E9="")))</f>
        <v>1</v>
      </c>
    </row>
    <row r="13" customFormat="false" ht="15" hidden="false" customHeight="true" outlineLevel="0" collapsed="false">
      <c r="A13" s="5" t="s">
        <v>1325</v>
      </c>
      <c r="C13" s="6" t="n">
        <f aca="false">COUNTIF(I5:I9,"&gt;0")</f>
        <v>2</v>
      </c>
    </row>
    <row r="14" customFormat="false" ht="15" hidden="false" customHeight="true" outlineLevel="0" collapsed="false">
      <c r="A14" s="5" t="s">
        <v>1326</v>
      </c>
      <c r="C14" s="5" t="str">
        <f aca="false">IF(C11=0,"Enter source IDs above",IF(C11=1,"Single source: one signal",IF(C12=1,"Echo: every source traces to one root, so this is one signal",IF(OR(C12&lt;C11,C13&gt;0),"Partial: "&amp;C12&amp;" independent roots among "&amp;C11&amp;" sources; some build on others","Independent: "&amp;C12&amp;" separate roots"))))</f>
        <v>Echo: every source traces to one root, so this is one signal</v>
      </c>
    </row>
    <row r="16" customFormat="false" ht="15" hidden="false" customHeight="true" outlineLevel="0" collapsed="false">
      <c r="A16" s="12" t="s">
        <v>1327</v>
      </c>
    </row>
  </sheetData>
  <dataValidations count="1">
    <dataValidation allowBlank="true" error="Enter an ID from the Source Registry (for example S017)" errorStyle="stop" errorTitle="Unknown source ID" operator="between" showDropDown="false" showErrorMessage="false" showInputMessage="false" sqref="B5:B9" type="custom">
      <formula1>COUNTIF('Source Registry'!$A$2:$A$300,B5)&gt;0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70"/>
    <col collapsed="false" customWidth="true" hidden="false" outlineLevel="0" max="3" min="3" style="1" width="30"/>
    <col collapsed="false" customWidth="true" hidden="false" outlineLevel="0" max="8" min="4" style="1" width="16"/>
  </cols>
  <sheetData>
    <row r="1" customFormat="false" ht="17.25" hidden="false" customHeight="true" outlineLevel="0" collapsed="false">
      <c r="A1" s="2" t="s">
        <v>1328</v>
      </c>
    </row>
    <row r="2" customFormat="false" ht="15" hidden="false" customHeight="true" outlineLevel="0" collapsed="false">
      <c r="A2" s="12" t="s">
        <v>1329</v>
      </c>
    </row>
    <row r="4" customFormat="false" ht="30" hidden="false" customHeight="true" outlineLevel="0" collapsed="false">
      <c r="A4" s="7" t="s">
        <v>1330</v>
      </c>
      <c r="B4" s="7" t="s">
        <v>1331</v>
      </c>
      <c r="C4" s="7" t="s">
        <v>1332</v>
      </c>
      <c r="D4" s="7" t="s">
        <v>1333</v>
      </c>
    </row>
    <row r="5" customFormat="false" ht="45.75" hidden="false" customHeight="true" outlineLevel="0" collapsed="false">
      <c r="A5" s="8" t="s">
        <v>120</v>
      </c>
      <c r="B5" s="8" t="s">
        <v>1334</v>
      </c>
      <c r="C5" s="8" t="s">
        <v>1335</v>
      </c>
      <c r="D5" s="8" t="s">
        <v>1336</v>
      </c>
    </row>
    <row r="6" customFormat="false" ht="45.75" hidden="false" customHeight="true" outlineLevel="0" collapsed="false">
      <c r="A6" s="8" t="s">
        <v>1337</v>
      </c>
      <c r="B6" s="8" t="s">
        <v>1338</v>
      </c>
      <c r="C6" s="8" t="s">
        <v>1339</v>
      </c>
      <c r="D6" s="8" t="s">
        <v>1340</v>
      </c>
    </row>
    <row r="7" customFormat="false" ht="34.5" hidden="false" customHeight="true" outlineLevel="0" collapsed="false">
      <c r="A7" s="8" t="s">
        <v>1341</v>
      </c>
      <c r="B7" s="8" t="s">
        <v>1342</v>
      </c>
      <c r="C7" s="8" t="s">
        <v>1343</v>
      </c>
      <c r="D7" s="8" t="s">
        <v>1344</v>
      </c>
    </row>
    <row r="8" customFormat="false" ht="34.5" hidden="false" customHeight="true" outlineLevel="0" collapsed="false">
      <c r="A8" s="8" t="s">
        <v>1345</v>
      </c>
      <c r="B8" s="8" t="s">
        <v>1346</v>
      </c>
      <c r="C8" s="8" t="s">
        <v>1347</v>
      </c>
      <c r="D8" s="8" t="s">
        <v>1348</v>
      </c>
    </row>
    <row r="9" customFormat="false" ht="34.5" hidden="false" customHeight="true" outlineLevel="0" collapsed="false">
      <c r="A9" s="8" t="s">
        <v>141</v>
      </c>
      <c r="B9" s="8" t="s">
        <v>1349</v>
      </c>
      <c r="C9" s="8" t="s">
        <v>1350</v>
      </c>
      <c r="D9" s="8" t="s">
        <v>1351</v>
      </c>
    </row>
    <row r="10" customFormat="false" ht="23.25" hidden="false" customHeight="true" outlineLevel="0" collapsed="false">
      <c r="A10" s="8" t="s">
        <v>1352</v>
      </c>
      <c r="B10" s="8" t="s">
        <v>1353</v>
      </c>
      <c r="C10" s="8" t="s">
        <v>1354</v>
      </c>
      <c r="D10" s="8" t="s">
        <v>1355</v>
      </c>
    </row>
    <row r="11" customFormat="false" ht="34.5" hidden="false" customHeight="true" outlineLevel="0" collapsed="false">
      <c r="A11" s="8" t="s">
        <v>1356</v>
      </c>
      <c r="B11" s="8" t="s">
        <v>1357</v>
      </c>
      <c r="C11" s="8" t="s">
        <v>1358</v>
      </c>
      <c r="D11" s="8" t="s">
        <v>1359</v>
      </c>
    </row>
    <row r="12" customFormat="false" ht="34.5" hidden="false" customHeight="true" outlineLevel="0" collapsed="false">
      <c r="A12" s="8" t="s">
        <v>1360</v>
      </c>
      <c r="B12" s="8" t="s">
        <v>1361</v>
      </c>
      <c r="C12" s="8" t="s">
        <v>1362</v>
      </c>
      <c r="D12" s="8" t="s">
        <v>1363</v>
      </c>
    </row>
    <row r="15" customFormat="false" ht="17.25" hidden="false" customHeight="true" outlineLevel="0" collapsed="false">
      <c r="A15" s="2" t="s">
        <v>1364</v>
      </c>
    </row>
    <row r="16" customFormat="false" ht="30" hidden="false" customHeight="true" outlineLevel="0" collapsed="false">
      <c r="A16" s="7" t="s">
        <v>1320</v>
      </c>
      <c r="B16" s="7" t="s">
        <v>43</v>
      </c>
      <c r="C16" s="7" t="s">
        <v>1365</v>
      </c>
      <c r="D16" s="7" t="s">
        <v>120</v>
      </c>
      <c r="E16" s="7" t="s">
        <v>107</v>
      </c>
      <c r="F16" s="7" t="s">
        <v>114</v>
      </c>
      <c r="G16" s="7" t="s">
        <v>141</v>
      </c>
      <c r="H16" s="7" t="s">
        <v>241</v>
      </c>
    </row>
    <row r="17" customFormat="false" ht="15" hidden="false" customHeight="true" outlineLevel="0" collapsed="false">
      <c r="A17" s="8" t="s">
        <v>288</v>
      </c>
      <c r="B17" s="8" t="str">
        <f aca="false">IFERROR(INDEX('Source Registry'!$B$2:$B$300,MATCH(A17,'Source Registry'!$A$2:$A$300,0)),"ID not found")</f>
        <v>FAS GAIN reports</v>
      </c>
      <c r="C17" s="8" t="s">
        <v>1366</v>
      </c>
      <c r="D17" s="9" t="s">
        <v>1367</v>
      </c>
      <c r="E17" s="9" t="s">
        <v>1367</v>
      </c>
      <c r="F17" s="9" t="s">
        <v>1367</v>
      </c>
      <c r="G17" s="9" t="s">
        <v>1367</v>
      </c>
      <c r="H17" s="9"/>
    </row>
    <row r="18" customFormat="false" ht="15" hidden="false" customHeight="true" outlineLevel="0" collapsed="false">
      <c r="A18" s="8" t="s">
        <v>356</v>
      </c>
      <c r="B18" s="8" t="str">
        <f aca="false">IFERROR(INDEX('Source Registry'!$B$2:$B$300,MATCH(A18,'Source Registry'!$A$2:$A$300,0)),"ID not found")</f>
        <v>EPA Renewable Fuel Standard</v>
      </c>
      <c r="C18" s="8" t="s">
        <v>1368</v>
      </c>
      <c r="D18" s="9"/>
      <c r="E18" s="9" t="s">
        <v>1367</v>
      </c>
      <c r="F18" s="9"/>
      <c r="G18" s="9"/>
      <c r="H18" s="9"/>
    </row>
    <row r="19" customFormat="false" ht="15" hidden="false" customHeight="true" outlineLevel="0" collapsed="false">
      <c r="A19" s="8" t="s">
        <v>460</v>
      </c>
      <c r="B19" s="8" t="str">
        <f aca="false">IFERROR(INDEX('Source Registry'!$B$2:$B$300,MATCH(A19,'Source Registry'!$A$2:$A$300,0)),"ID not found")</f>
        <v>IDFA and NMPF industry analysis</v>
      </c>
      <c r="C19" s="8" t="s">
        <v>1369</v>
      </c>
      <c r="D19" s="9" t="s">
        <v>1367</v>
      </c>
      <c r="E19" s="9"/>
      <c r="F19" s="9"/>
      <c r="G19" s="9"/>
      <c r="H19" s="9"/>
    </row>
    <row r="20" customFormat="false" ht="15" hidden="false" customHeight="true" outlineLevel="0" collapsed="false">
      <c r="A20" s="8" t="s">
        <v>480</v>
      </c>
      <c r="B20" s="8" t="str">
        <f aca="false">IFERROR(INDEX('Source Registry'!$B$2:$B$300,MATCH(A20,'Source Registry'!$A$2:$A$300,0)),"ID not found")</f>
        <v>USTR trade actions</v>
      </c>
      <c r="C20" s="8" t="s">
        <v>1370</v>
      </c>
      <c r="D20" s="9" t="s">
        <v>1367</v>
      </c>
      <c r="E20" s="9" t="s">
        <v>1367</v>
      </c>
      <c r="F20" s="9" t="s">
        <v>1367</v>
      </c>
      <c r="G20" s="9" t="s">
        <v>1367</v>
      </c>
      <c r="H20" s="9" t="s">
        <v>1367</v>
      </c>
    </row>
    <row r="21" customFormat="false" ht="15" hidden="false" customHeight="true" outlineLevel="0" collapsed="false">
      <c r="A21" s="8" t="s">
        <v>486</v>
      </c>
      <c r="B21" s="8" t="str">
        <f aca="false">IFERROR(INDEX('Source Registry'!$B$2:$B$300,MATCH(A21,'Source Registry'!$A$2:$A$300,0)),"ID not found")</f>
        <v>WTO data and notifications</v>
      </c>
      <c r="C21" s="8" t="s">
        <v>1371</v>
      </c>
      <c r="D21" s="9" t="s">
        <v>1367</v>
      </c>
      <c r="E21" s="9" t="s">
        <v>1367</v>
      </c>
      <c r="F21" s="9" t="s">
        <v>1367</v>
      </c>
      <c r="G21" s="9" t="s">
        <v>1367</v>
      </c>
      <c r="H21" s="9" t="s">
        <v>1367</v>
      </c>
    </row>
    <row r="22" customFormat="false" ht="15" hidden="false" customHeight="true" outlineLevel="0" collapsed="false">
      <c r="A22" s="8" t="s">
        <v>492</v>
      </c>
      <c r="B22" s="8" t="str">
        <f aca="false">IFERROR(INDEX('Source Registry'!$B$2:$B$300,MATCH(A22,'Source Registry'!$A$2:$A$300,0)),"ID not found")</f>
        <v>Global Trade Alert</v>
      </c>
      <c r="C22" s="8" t="s">
        <v>1371</v>
      </c>
      <c r="D22" s="9" t="s">
        <v>1367</v>
      </c>
      <c r="E22" s="9" t="s">
        <v>1367</v>
      </c>
      <c r="F22" s="9" t="s">
        <v>1367</v>
      </c>
      <c r="G22" s="9" t="s">
        <v>1367</v>
      </c>
      <c r="H22" s="9" t="s">
        <v>1367</v>
      </c>
    </row>
    <row r="23" customFormat="false" ht="15" hidden="false" customHeight="true" outlineLevel="0" collapsed="false">
      <c r="A23" s="8" t="s">
        <v>500</v>
      </c>
      <c r="B23" s="8" t="str">
        <f aca="false">IFERROR(INDEX('Source Registry'!$B$2:$B$300,MATCH(A23,'Source Registry'!$A$2:$A$300,0)),"ID not found")</f>
        <v>Federal Register</v>
      </c>
      <c r="C23" s="8" t="s">
        <v>1368</v>
      </c>
      <c r="D23" s="9" t="s">
        <v>1367</v>
      </c>
      <c r="E23" s="9" t="s">
        <v>1367</v>
      </c>
      <c r="F23" s="9" t="s">
        <v>1367</v>
      </c>
      <c r="G23" s="9" t="s">
        <v>1367</v>
      </c>
      <c r="H23" s="9" t="s">
        <v>1367</v>
      </c>
    </row>
    <row r="24" customFormat="false" ht="15" hidden="false" customHeight="true" outlineLevel="0" collapsed="false">
      <c r="A24" s="8" t="s">
        <v>512</v>
      </c>
      <c r="B24" s="8" t="str">
        <f aca="false">IFERROR(INDEX('Source Registry'!$B$2:$B$300,MATCH(A24,'Source Registry'!$A$2:$A$300,0)),"ID not found")</f>
        <v>Dietary Guidelines for Americans</v>
      </c>
      <c r="C24" s="8" t="s">
        <v>1368</v>
      </c>
      <c r="D24" s="9" t="s">
        <v>1367</v>
      </c>
      <c r="E24" s="9"/>
      <c r="F24" s="9" t="s">
        <v>1367</v>
      </c>
      <c r="G24" s="9" t="s">
        <v>1367</v>
      </c>
      <c r="H24" s="9"/>
    </row>
    <row r="25" customFormat="false" ht="15" hidden="false" customHeight="true" outlineLevel="0" collapsed="false">
      <c r="A25" s="8" t="s">
        <v>518</v>
      </c>
      <c r="B25" s="8" t="str">
        <f aca="false">IFERROR(INDEX('Source Registry'!$B$2:$B$300,MATCH(A25,'Source Registry'!$A$2:$A$300,0)),"ID not found")</f>
        <v>FDA food regulation and approvals</v>
      </c>
      <c r="C25" s="8" t="s">
        <v>1368</v>
      </c>
      <c r="D25" s="9" t="s">
        <v>1367</v>
      </c>
      <c r="E25" s="9" t="s">
        <v>1367</v>
      </c>
      <c r="F25" s="9" t="s">
        <v>1367</v>
      </c>
      <c r="G25" s="9" t="s">
        <v>1367</v>
      </c>
      <c r="H25" s="9"/>
    </row>
    <row r="26" customFormat="false" ht="15" hidden="false" customHeight="true" outlineLevel="0" collapsed="false">
      <c r="A26" s="8" t="s">
        <v>594</v>
      </c>
      <c r="B26" s="8" t="str">
        <f aca="false">IFERROR(INDEX('Source Registry'!$B$2:$B$300,MATCH(A26,'Source Registry'!$A$2:$A$300,0)),"ID not found")</f>
        <v>DOJ Antitrust and FTC actions</v>
      </c>
      <c r="C26" s="8" t="s">
        <v>1368</v>
      </c>
      <c r="D26" s="9" t="s">
        <v>1367</v>
      </c>
      <c r="E26" s="9" t="s">
        <v>1367</v>
      </c>
      <c r="F26" s="9" t="s">
        <v>1367</v>
      </c>
      <c r="G26" s="9" t="s">
        <v>1367</v>
      </c>
      <c r="H26" s="9" t="s">
        <v>1367</v>
      </c>
    </row>
    <row r="27" customFormat="false" ht="15" hidden="false" customHeight="true" outlineLevel="0" collapsed="false">
      <c r="A27" s="8" t="s">
        <v>600</v>
      </c>
      <c r="B27" s="8" t="str">
        <f aca="false">IFERROR(INDEX('Source Registry'!$B$2:$B$300,MATCH(A27,'Source Registry'!$A$2:$A$300,0)),"ID not found")</f>
        <v>Congress.gov</v>
      </c>
      <c r="C27" s="8" t="s">
        <v>1368</v>
      </c>
      <c r="D27" s="9" t="s">
        <v>1367</v>
      </c>
      <c r="E27" s="9" t="s">
        <v>1367</v>
      </c>
      <c r="F27" s="9" t="s">
        <v>1367</v>
      </c>
      <c r="G27" s="9" t="s">
        <v>1367</v>
      </c>
      <c r="H27" s="9" t="s">
        <v>1367</v>
      </c>
    </row>
    <row r="28" customFormat="false" ht="15" hidden="false" customHeight="true" outlineLevel="0" collapsed="false">
      <c r="A28" s="8" t="s">
        <v>608</v>
      </c>
      <c r="B28" s="8" t="str">
        <f aca="false">IFERROR(INDEX('Source Registry'!$B$2:$B$300,MATCH(A28,'Source Registry'!$A$2:$A$300,0)),"ID not found")</f>
        <v>House and Senate Agriculture Committees</v>
      </c>
      <c r="C28" s="8" t="s">
        <v>1368</v>
      </c>
      <c r="D28" s="9" t="s">
        <v>1367</v>
      </c>
      <c r="E28" s="9" t="s">
        <v>1367</v>
      </c>
      <c r="F28" s="9" t="s">
        <v>1367</v>
      </c>
      <c r="G28" s="9" t="s">
        <v>1367</v>
      </c>
      <c r="H28" s="9" t="s">
        <v>1367</v>
      </c>
    </row>
    <row r="29" customFormat="false" ht="15" hidden="false" customHeight="true" outlineLevel="0" collapsed="false">
      <c r="A29" s="8" t="s">
        <v>614</v>
      </c>
      <c r="B29" s="8" t="str">
        <f aca="false">IFERROR(INDEX('Source Registry'!$B$2:$B$300,MATCH(A29,'Source Registry'!$A$2:$A$300,0)),"ID not found")</f>
        <v>CRS reports on agriculture policy</v>
      </c>
      <c r="C29" s="8" t="s">
        <v>1368</v>
      </c>
      <c r="D29" s="9" t="s">
        <v>1367</v>
      </c>
      <c r="E29" s="9" t="s">
        <v>1367</v>
      </c>
      <c r="F29" s="9" t="s">
        <v>1367</v>
      </c>
      <c r="G29" s="9" t="s">
        <v>1367</v>
      </c>
      <c r="H29" s="9" t="s">
        <v>1367</v>
      </c>
    </row>
    <row r="30" customFormat="false" ht="15" hidden="false" customHeight="true" outlineLevel="0" collapsed="false">
      <c r="A30" s="8" t="s">
        <v>620</v>
      </c>
      <c r="B30" s="8" t="str">
        <f aca="false">IFERROR(INDEX('Source Registry'!$B$2:$B$300,MATCH(A30,'Source Registry'!$A$2:$A$300,0)),"ID not found")</f>
        <v>CBO baseline and farm program cost estimates</v>
      </c>
      <c r="C30" s="8" t="s">
        <v>1368</v>
      </c>
      <c r="D30" s="9" t="s">
        <v>1367</v>
      </c>
      <c r="E30" s="9" t="s">
        <v>1367</v>
      </c>
      <c r="F30" s="9" t="s">
        <v>1367</v>
      </c>
      <c r="G30" s="9"/>
      <c r="H30" s="9"/>
    </row>
    <row r="31" customFormat="false" ht="15" hidden="false" customHeight="true" outlineLevel="0" collapsed="false">
      <c r="A31" s="8" t="s">
        <v>627</v>
      </c>
      <c r="B31" s="8" t="str">
        <f aca="false">IFERROR(INDEX('Source Registry'!$B$2:$B$300,MATCH(A31,'Source Registry'!$A$2:$A$300,0)),"ID not found")</f>
        <v>Regulations.gov dockets</v>
      </c>
      <c r="C31" s="8" t="s">
        <v>1368</v>
      </c>
      <c r="D31" s="9" t="s">
        <v>1367</v>
      </c>
      <c r="E31" s="9" t="s">
        <v>1367</v>
      </c>
      <c r="F31" s="9" t="s">
        <v>1367</v>
      </c>
      <c r="G31" s="9" t="s">
        <v>1367</v>
      </c>
      <c r="H31" s="9" t="s">
        <v>1367</v>
      </c>
    </row>
    <row r="32" customFormat="false" ht="15" hidden="false" customHeight="true" outlineLevel="0" collapsed="false">
      <c r="A32" s="8" t="s">
        <v>632</v>
      </c>
      <c r="B32" s="8" t="str">
        <f aca="false">IFERROR(INDEX('Source Registry'!$B$2:$B$300,MATCH(A32,'Source Registry'!$A$2:$A$300,0)),"ID not found")</f>
        <v>Unified Agenda and OIRA review</v>
      </c>
      <c r="C32" s="8" t="s">
        <v>1368</v>
      </c>
      <c r="D32" s="9" t="s">
        <v>1367</v>
      </c>
      <c r="E32" s="9" t="s">
        <v>1367</v>
      </c>
      <c r="F32" s="9" t="s">
        <v>1367</v>
      </c>
      <c r="G32" s="9" t="s">
        <v>1367</v>
      </c>
      <c r="H32" s="9" t="s">
        <v>1367</v>
      </c>
    </row>
    <row r="33" customFormat="false" ht="15" hidden="false" customHeight="true" outlineLevel="0" collapsed="false">
      <c r="A33" s="8" t="s">
        <v>639</v>
      </c>
      <c r="B33" s="8" t="str">
        <f aca="false">IFERROR(INDEX('Source Registry'!$B$2:$B$300,MATCH(A33,'Source Registry'!$A$2:$A$300,0)),"ID not found")</f>
        <v>USDA FSA program notices</v>
      </c>
      <c r="C33" s="8" t="s">
        <v>1368</v>
      </c>
      <c r="D33" s="9" t="s">
        <v>1367</v>
      </c>
      <c r="E33" s="9" t="s">
        <v>1367</v>
      </c>
      <c r="F33" s="9" t="s">
        <v>1367</v>
      </c>
      <c r="G33" s="9" t="s">
        <v>1367</v>
      </c>
      <c r="H33" s="9"/>
    </row>
    <row r="34" customFormat="false" ht="15" hidden="false" customHeight="true" outlineLevel="0" collapsed="false">
      <c r="A34" s="8" t="s">
        <v>645</v>
      </c>
      <c r="B34" s="8" t="str">
        <f aca="false">IFERROR(INDEX('Source Registry'!$B$2:$B$300,MATCH(A34,'Source Registry'!$A$2:$A$300,0)),"ID not found")</f>
        <v>Federal Milk Marketing Orders</v>
      </c>
      <c r="C34" s="8" t="s">
        <v>1368</v>
      </c>
      <c r="D34" s="9" t="s">
        <v>1367</v>
      </c>
      <c r="E34" s="9"/>
      <c r="F34" s="9"/>
      <c r="G34" s="9"/>
      <c r="H34" s="9"/>
    </row>
    <row r="35" customFormat="false" ht="15" hidden="false" customHeight="true" outlineLevel="0" collapsed="false">
      <c r="A35" s="8" t="s">
        <v>650</v>
      </c>
      <c r="B35" s="8" t="str">
        <f aca="false">IFERROR(INDEX('Source Registry'!$B$2:$B$300,MATCH(A35,'Source Registry'!$A$2:$A$300,0)),"ID not found")</f>
        <v>AMS marketing orders and agreements</v>
      </c>
      <c r="C35" s="8" t="s">
        <v>1368</v>
      </c>
      <c r="D35" s="9" t="s">
        <v>1367</v>
      </c>
      <c r="E35" s="9"/>
      <c r="F35" s="9"/>
      <c r="G35" s="9" t="s">
        <v>1367</v>
      </c>
      <c r="H35" s="9"/>
    </row>
    <row r="36" customFormat="false" ht="15" hidden="false" customHeight="true" outlineLevel="0" collapsed="false">
      <c r="A36" s="8" t="s">
        <v>655</v>
      </c>
      <c r="B36" s="8" t="str">
        <f aca="false">IFERROR(INDEX('Source Registry'!$B$2:$B$300,MATCH(A36,'Source Registry'!$A$2:$A$300,0)),"ID not found")</f>
        <v>Packers and Stockyards Act rules and enforcement</v>
      </c>
      <c r="C36" s="8" t="s">
        <v>1368</v>
      </c>
      <c r="D36" s="9"/>
      <c r="E36" s="9"/>
      <c r="F36" s="9" t="s">
        <v>1367</v>
      </c>
      <c r="G36" s="9"/>
      <c r="H36" s="9"/>
    </row>
    <row r="37" customFormat="false" ht="15" hidden="false" customHeight="true" outlineLevel="0" collapsed="false">
      <c r="A37" s="8" t="s">
        <v>660</v>
      </c>
      <c r="B37" s="8" t="str">
        <f aca="false">IFERROR(INDEX('Source Registry'!$B$2:$B$300,MATCH(A37,'Source Registry'!$A$2:$A$300,0)),"ID not found")</f>
        <v>FSIS rules, labeling and inspection policy</v>
      </c>
      <c r="C37" s="8" t="s">
        <v>1368</v>
      </c>
      <c r="D37" s="9"/>
      <c r="E37" s="9"/>
      <c r="F37" s="9" t="s">
        <v>1367</v>
      </c>
      <c r="G37" s="9"/>
      <c r="H37" s="9"/>
    </row>
    <row r="38" customFormat="false" ht="15" hidden="false" customHeight="true" outlineLevel="0" collapsed="false">
      <c r="A38" s="8" t="s">
        <v>666</v>
      </c>
      <c r="B38" s="8" t="str">
        <f aca="false">IFERROR(INDEX('Source Registry'!$B$2:$B$300,MATCH(A38,'Source Registry'!$A$2:$A$300,0)),"ID not found")</f>
        <v>APHIS regulations (animal disease, plant health, biotechnology)</v>
      </c>
      <c r="C38" s="8" t="s">
        <v>1368</v>
      </c>
      <c r="D38" s="9" t="s">
        <v>1367</v>
      </c>
      <c r="E38" s="9" t="s">
        <v>1367</v>
      </c>
      <c r="F38" s="9" t="s">
        <v>1367</v>
      </c>
      <c r="G38" s="9" t="s">
        <v>1367</v>
      </c>
      <c r="H38" s="9"/>
    </row>
    <row r="39" customFormat="false" ht="15" hidden="false" customHeight="true" outlineLevel="0" collapsed="false">
      <c r="A39" s="8" t="s">
        <v>670</v>
      </c>
      <c r="B39" s="8" t="str">
        <f aca="false">IFERROR(INDEX('Source Registry'!$B$2:$B$300,MATCH(A39,'Source Registry'!$A$2:$A$300,0)),"ID not found")</f>
        <v>FDA Food Safety Modernization Act rules</v>
      </c>
      <c r="C39" s="8" t="s">
        <v>1368</v>
      </c>
      <c r="D39" s="9" t="s">
        <v>1367</v>
      </c>
      <c r="E39" s="9"/>
      <c r="F39" s="9"/>
      <c r="G39" s="9" t="s">
        <v>1367</v>
      </c>
      <c r="H39" s="9"/>
    </row>
    <row r="40" customFormat="false" ht="15" hidden="false" customHeight="true" outlineLevel="0" collapsed="false">
      <c r="A40" s="8" t="s">
        <v>675</v>
      </c>
      <c r="B40" s="8" t="str">
        <f aca="false">IFERROR(INDEX('Source Registry'!$B$2:$B$300,MATCH(A40,'Source Registry'!$A$2:$A$300,0)),"ID not found")</f>
        <v>EPA pesticide program</v>
      </c>
      <c r="C40" s="8" t="s">
        <v>1368</v>
      </c>
      <c r="D40" s="9"/>
      <c r="E40" s="9" t="s">
        <v>1367</v>
      </c>
      <c r="F40" s="9"/>
      <c r="G40" s="9" t="s">
        <v>1367</v>
      </c>
      <c r="H40" s="9"/>
    </row>
    <row r="41" customFormat="false" ht="15" hidden="false" customHeight="true" outlineLevel="0" collapsed="false">
      <c r="A41" s="8" t="s">
        <v>680</v>
      </c>
      <c r="B41" s="8" t="str">
        <f aca="false">IFERROR(INDEX('Source Registry'!$B$2:$B$300,MATCH(A41,'Source Registry'!$A$2:$A$300,0)),"ID not found")</f>
        <v>EPA agriculture and water, air and nutrient rules</v>
      </c>
      <c r="C41" s="8" t="s">
        <v>1368</v>
      </c>
      <c r="D41" s="9" t="s">
        <v>1367</v>
      </c>
      <c r="E41" s="9" t="s">
        <v>1367</v>
      </c>
      <c r="F41" s="9" t="s">
        <v>1367</v>
      </c>
      <c r="G41" s="9" t="s">
        <v>1367</v>
      </c>
      <c r="H41" s="9" t="s">
        <v>1367</v>
      </c>
    </row>
    <row r="42" customFormat="false" ht="15" hidden="false" customHeight="true" outlineLevel="0" collapsed="false">
      <c r="A42" s="8" t="s">
        <v>685</v>
      </c>
      <c r="B42" s="8" t="str">
        <f aca="false">IFERROR(INDEX('Source Registry'!$B$2:$B$300,MATCH(A42,'Source Registry'!$A$2:$A$300,0)),"ID not found")</f>
        <v>USDA FNS nutrition program rules</v>
      </c>
      <c r="C42" s="8" t="s">
        <v>1368</v>
      </c>
      <c r="D42" s="9" t="s">
        <v>1367</v>
      </c>
      <c r="E42" s="9"/>
      <c r="F42" s="9" t="s">
        <v>1367</v>
      </c>
      <c r="G42" s="9" t="s">
        <v>1367</v>
      </c>
      <c r="H42" s="9"/>
    </row>
    <row r="43" customFormat="false" ht="15" hidden="false" customHeight="true" outlineLevel="0" collapsed="false">
      <c r="A43" s="8" t="s">
        <v>691</v>
      </c>
      <c r="B43" s="8" t="str">
        <f aca="false">IFERROR(INDEX('Source Registry'!$B$2:$B$300,MATCH(A43,'Source Registry'!$A$2:$A$300,0)),"ID not found")</f>
        <v>NRCS conservation programs</v>
      </c>
      <c r="C43" s="8" t="s">
        <v>1368</v>
      </c>
      <c r="D43" s="9" t="s">
        <v>1367</v>
      </c>
      <c r="E43" s="9" t="s">
        <v>1367</v>
      </c>
      <c r="F43" s="9" t="s">
        <v>1367</v>
      </c>
      <c r="G43" s="9" t="s">
        <v>1367</v>
      </c>
      <c r="H43" s="9"/>
    </row>
    <row r="44" customFormat="false" ht="15" hidden="false" customHeight="true" outlineLevel="0" collapsed="false">
      <c r="A44" s="8" t="s">
        <v>697</v>
      </c>
      <c r="B44" s="8" t="str">
        <f aca="false">IFERROR(INDEX('Source Registry'!$B$2:$B$300,MATCH(A44,'Source Registry'!$A$2:$A$300,0)),"ID not found")</f>
        <v>DOL farm labor and H-2A rules</v>
      </c>
      <c r="C44" s="8" t="s">
        <v>1368</v>
      </c>
      <c r="D44" s="9" t="s">
        <v>1367</v>
      </c>
      <c r="E44" s="9" t="s">
        <v>1367</v>
      </c>
      <c r="F44" s="9" t="s">
        <v>1367</v>
      </c>
      <c r="G44" s="9" t="s">
        <v>1367</v>
      </c>
      <c r="H44" s="9"/>
    </row>
    <row r="45" customFormat="false" ht="15" hidden="false" customHeight="true" outlineLevel="0" collapsed="false">
      <c r="A45" s="8" t="s">
        <v>703</v>
      </c>
      <c r="B45" s="8" t="str">
        <f aca="false">IFERROR(INDEX('Source Registry'!$B$2:$B$300,MATCH(A45,'Source Registry'!$A$2:$A$300,0)),"ID not found")</f>
        <v>IRS and Treasury guidance for farms</v>
      </c>
      <c r="C45" s="8" t="s">
        <v>1368</v>
      </c>
      <c r="D45" s="9" t="s">
        <v>1367</v>
      </c>
      <c r="E45" s="9" t="s">
        <v>1367</v>
      </c>
      <c r="F45" s="9" t="s">
        <v>1367</v>
      </c>
      <c r="G45" s="9" t="s">
        <v>1367</v>
      </c>
      <c r="H45" s="9" t="s">
        <v>1367</v>
      </c>
    </row>
    <row r="46" customFormat="false" ht="15" hidden="false" customHeight="true" outlineLevel="0" collapsed="false">
      <c r="A46" s="8" t="s">
        <v>709</v>
      </c>
      <c r="B46" s="8" t="str">
        <f aca="false">IFERROR(INDEX('Source Registry'!$B$2:$B$300,MATCH(A46,'Source Registry'!$A$2:$A$300,0)),"ID not found")</f>
        <v>ERS Farm and Commodity Policy</v>
      </c>
      <c r="C46" s="8" t="s">
        <v>1368</v>
      </c>
      <c r="D46" s="9" t="s">
        <v>1367</v>
      </c>
      <c r="E46" s="9" t="s">
        <v>1367</v>
      </c>
      <c r="F46" s="9" t="s">
        <v>1367</v>
      </c>
      <c r="G46" s="9" t="s">
        <v>1367</v>
      </c>
      <c r="H46" s="9" t="s">
        <v>1367</v>
      </c>
    </row>
    <row r="47" customFormat="false" ht="15" hidden="false" customHeight="true" outlineLevel="0" collapsed="false">
      <c r="A47" s="8" t="s">
        <v>713</v>
      </c>
      <c r="B47" s="8" t="str">
        <f aca="false">IFERROR(INDEX('Source Registry'!$B$2:$B$300,MATCH(A47,'Source Registry'!$A$2:$A$300,0)),"ID not found")</f>
        <v>NCSL agriculture and rural development tracker</v>
      </c>
      <c r="C47" s="8" t="s">
        <v>1372</v>
      </c>
      <c r="D47" s="9" t="s">
        <v>1367</v>
      </c>
      <c r="E47" s="9" t="s">
        <v>1367</v>
      </c>
      <c r="F47" s="9" t="s">
        <v>1367</v>
      </c>
      <c r="G47" s="9" t="s">
        <v>1367</v>
      </c>
      <c r="H47" s="9" t="s">
        <v>1367</v>
      </c>
    </row>
    <row r="48" customFormat="false" ht="15" hidden="false" customHeight="true" outlineLevel="0" collapsed="false">
      <c r="A48" s="8" t="s">
        <v>720</v>
      </c>
      <c r="B48" s="8" t="str">
        <f aca="false">IFERROR(INDEX('Source Registry'!$B$2:$B$300,MATCH(A48,'Source Registry'!$A$2:$A$300,0)),"ID not found")</f>
        <v>LegiScan</v>
      </c>
      <c r="C48" s="8" t="s">
        <v>1372</v>
      </c>
      <c r="D48" s="9" t="s">
        <v>1367</v>
      </c>
      <c r="E48" s="9" t="s">
        <v>1367</v>
      </c>
      <c r="F48" s="9" t="s">
        <v>1367</v>
      </c>
      <c r="G48" s="9" t="s">
        <v>1367</v>
      </c>
      <c r="H48" s="9" t="s">
        <v>1367</v>
      </c>
    </row>
    <row r="49" customFormat="false" ht="15" hidden="false" customHeight="true" outlineLevel="0" collapsed="false">
      <c r="A49" s="8" t="s">
        <v>727</v>
      </c>
      <c r="B49" s="8" t="str">
        <f aca="false">IFERROR(INDEX('Source Registry'!$B$2:$B$300,MATCH(A49,'Source Registry'!$A$2:$A$300,0)),"ID not found")</f>
        <v>NASDA</v>
      </c>
      <c r="C49" s="8" t="s">
        <v>1372</v>
      </c>
      <c r="D49" s="9" t="s">
        <v>1367</v>
      </c>
      <c r="E49" s="9" t="s">
        <v>1367</v>
      </c>
      <c r="F49" s="9" t="s">
        <v>1367</v>
      </c>
      <c r="G49" s="9" t="s">
        <v>1367</v>
      </c>
      <c r="H49" s="9" t="s">
        <v>1367</v>
      </c>
    </row>
    <row r="50" customFormat="false" ht="15" hidden="false" customHeight="true" outlineLevel="0" collapsed="false">
      <c r="A50" s="8" t="s">
        <v>733</v>
      </c>
      <c r="B50" s="8" t="str">
        <f aca="false">IFERROR(INDEX('Source Registry'!$B$2:$B$300,MATCH(A50,'Source Registry'!$A$2:$A$300,0)),"ID not found")</f>
        <v>National Agricultural Law Center</v>
      </c>
      <c r="C50" s="8" t="s">
        <v>1373</v>
      </c>
      <c r="D50" s="9" t="s">
        <v>1367</v>
      </c>
      <c r="E50" s="9" t="s">
        <v>1367</v>
      </c>
      <c r="F50" s="9" t="s">
        <v>1367</v>
      </c>
      <c r="G50" s="9" t="s">
        <v>1367</v>
      </c>
      <c r="H50" s="9" t="s">
        <v>1367</v>
      </c>
    </row>
    <row r="51" customFormat="false" ht="15" hidden="false" customHeight="true" outlineLevel="0" collapsed="false">
      <c r="A51" s="8" t="s">
        <v>740</v>
      </c>
      <c r="B51" s="8" t="str">
        <f aca="false">IFERROR(INDEX('Source Registry'!$B$2:$B$300,MATCH(A51,'Source Registry'!$A$2:$A$300,0)),"ID not found")</f>
        <v>Ballotpedia agriculture ballot measures</v>
      </c>
      <c r="C51" s="8" t="s">
        <v>1372</v>
      </c>
      <c r="D51" s="9"/>
      <c r="E51" s="9"/>
      <c r="F51" s="9" t="s">
        <v>1367</v>
      </c>
      <c r="G51" s="9"/>
      <c r="H51" s="9"/>
    </row>
    <row r="52" customFormat="false" ht="15" hidden="false" customHeight="true" outlineLevel="0" collapsed="false">
      <c r="A52" s="8" t="s">
        <v>746</v>
      </c>
      <c r="B52" s="8" t="str">
        <f aca="false">IFERROR(INDEX('Source Registry'!$B$2:$B$300,MATCH(A52,'Source Registry'!$A$2:$A$300,0)),"ID not found")</f>
        <v>USITC tariff schedule (HTS) and trade remedies</v>
      </c>
      <c r="C52" s="8" t="s">
        <v>1370</v>
      </c>
      <c r="D52" s="9" t="s">
        <v>1367</v>
      </c>
      <c r="E52" s="9" t="s">
        <v>1367</v>
      </c>
      <c r="F52" s="9" t="s">
        <v>1367</v>
      </c>
      <c r="G52" s="9" t="s">
        <v>1367</v>
      </c>
      <c r="H52" s="9" t="s">
        <v>1367</v>
      </c>
    </row>
    <row r="53" customFormat="false" ht="15" hidden="false" customHeight="true" outlineLevel="0" collapsed="false">
      <c r="A53" s="8" t="s">
        <v>752</v>
      </c>
      <c r="B53" s="8" t="str">
        <f aca="false">IFERROR(INDEX('Source Registry'!$B$2:$B$300,MATCH(A53,'Source Registry'!$A$2:$A$300,0)),"ID not found")</f>
        <v>Commerce AD/CVD enforcement</v>
      </c>
      <c r="C53" s="8" t="s">
        <v>1370</v>
      </c>
      <c r="D53" s="9"/>
      <c r="E53" s="9"/>
      <c r="F53" s="9"/>
      <c r="G53" s="9" t="s">
        <v>1367</v>
      </c>
      <c r="H53" s="9" t="s">
        <v>1367</v>
      </c>
    </row>
    <row r="54" customFormat="false" ht="15" hidden="false" customHeight="true" outlineLevel="0" collapsed="false">
      <c r="A54" s="8" t="s">
        <v>757</v>
      </c>
      <c r="B54" s="8" t="str">
        <f aca="false">IFERROR(INDEX('Source Registry'!$B$2:$B$300,MATCH(A54,'Source Registry'!$A$2:$A$300,0)),"ID not found")</f>
        <v>EU Common Agricultural Policy and EUR-Lex</v>
      </c>
      <c r="C54" s="8" t="s">
        <v>1371</v>
      </c>
      <c r="D54" s="9" t="s">
        <v>1367</v>
      </c>
      <c r="E54" s="9" t="s">
        <v>1367</v>
      </c>
      <c r="F54" s="9" t="s">
        <v>1367</v>
      </c>
      <c r="G54" s="9" t="s">
        <v>1367</v>
      </c>
      <c r="H54" s="9"/>
    </row>
    <row r="55" customFormat="false" ht="15" hidden="false" customHeight="true" outlineLevel="0" collapsed="false">
      <c r="A55" s="8" t="s">
        <v>763</v>
      </c>
      <c r="B55" s="8" t="str">
        <f aca="false">IFERROR(INDEX('Source Registry'!$B$2:$B$300,MATCH(A55,'Source Registry'!$A$2:$A$300,0)),"ID not found")</f>
        <v>Codex Alimentarius</v>
      </c>
      <c r="C55" s="8" t="s">
        <v>1371</v>
      </c>
      <c r="D55" s="9" t="s">
        <v>1367</v>
      </c>
      <c r="E55" s="9" t="s">
        <v>1367</v>
      </c>
      <c r="F55" s="9" t="s">
        <v>1367</v>
      </c>
      <c r="G55" s="9" t="s">
        <v>1367</v>
      </c>
      <c r="H55" s="9"/>
    </row>
    <row r="56" customFormat="false" ht="15" hidden="false" customHeight="true" outlineLevel="0" collapsed="false">
      <c r="A56" s="8" t="s">
        <v>769</v>
      </c>
      <c r="B56" s="8" t="str">
        <f aca="false">IFERROR(INDEX('Source Registry'!$B$2:$B$300,MATCH(A56,'Source Registry'!$A$2:$A$300,0)),"ID not found")</f>
        <v>WOAH animal health standards and disease reports</v>
      </c>
      <c r="C56" s="8" t="s">
        <v>1371</v>
      </c>
      <c r="D56" s="9" t="s">
        <v>1367</v>
      </c>
      <c r="E56" s="9"/>
      <c r="F56" s="9" t="s">
        <v>1367</v>
      </c>
      <c r="G56" s="9"/>
      <c r="H56" s="9"/>
    </row>
    <row r="57" customFormat="false" ht="15" hidden="false" customHeight="true" outlineLevel="0" collapsed="false">
      <c r="A57" s="8" t="s">
        <v>775</v>
      </c>
      <c r="B57" s="8" t="str">
        <f aca="false">IFERROR(INDEX('Source Registry'!$B$2:$B$300,MATCH(A57,'Source Registry'!$A$2:$A$300,0)),"ID not found")</f>
        <v>National Corn Growers Association</v>
      </c>
      <c r="C57" s="8" t="s">
        <v>1368</v>
      </c>
      <c r="D57" s="9"/>
      <c r="E57" s="9" t="s">
        <v>1367</v>
      </c>
      <c r="F57" s="9"/>
      <c r="G57" s="9"/>
      <c r="H57" s="9"/>
    </row>
    <row r="58" customFormat="false" ht="15" hidden="false" customHeight="true" outlineLevel="0" collapsed="false">
      <c r="A58" s="8" t="s">
        <v>781</v>
      </c>
      <c r="B58" s="8" t="str">
        <f aca="false">IFERROR(INDEX('Source Registry'!$B$2:$B$300,MATCH(A58,'Source Registry'!$A$2:$A$300,0)),"ID not found")</f>
        <v>American Soybean Association</v>
      </c>
      <c r="C58" s="8" t="s">
        <v>1368</v>
      </c>
      <c r="D58" s="9"/>
      <c r="E58" s="9" t="s">
        <v>1367</v>
      </c>
      <c r="F58" s="9"/>
      <c r="G58" s="9"/>
      <c r="H58" s="9"/>
    </row>
    <row r="59" customFormat="false" ht="15" hidden="false" customHeight="true" outlineLevel="0" collapsed="false">
      <c r="A59" s="8" t="s">
        <v>786</v>
      </c>
      <c r="B59" s="8" t="str">
        <f aca="false">IFERROR(INDEX('Source Registry'!$B$2:$B$300,MATCH(A59,'Source Registry'!$A$2:$A$300,0)),"ID not found")</f>
        <v>National Association of Wheat Growers</v>
      </c>
      <c r="C59" s="8" t="s">
        <v>1368</v>
      </c>
      <c r="D59" s="9"/>
      <c r="E59" s="9" t="s">
        <v>1367</v>
      </c>
      <c r="F59" s="9"/>
      <c r="G59" s="9"/>
      <c r="H59" s="9"/>
    </row>
    <row r="60" customFormat="false" ht="15" hidden="false" customHeight="true" outlineLevel="0" collapsed="false">
      <c r="A60" s="8" t="s">
        <v>791</v>
      </c>
      <c r="B60" s="8" t="str">
        <f aca="false">IFERROR(INDEX('Source Registry'!$B$2:$B$300,MATCH(A60,'Source Registry'!$A$2:$A$300,0)),"ID not found")</f>
        <v>NCBA policy</v>
      </c>
      <c r="C60" s="8" t="s">
        <v>1368</v>
      </c>
      <c r="D60" s="9"/>
      <c r="E60" s="9"/>
      <c r="F60" s="9" t="s">
        <v>1367</v>
      </c>
      <c r="G60" s="9"/>
      <c r="H60" s="9"/>
    </row>
    <row r="61" customFormat="false" ht="15" hidden="false" customHeight="true" outlineLevel="0" collapsed="false">
      <c r="A61" s="8" t="s">
        <v>796</v>
      </c>
      <c r="B61" s="8" t="str">
        <f aca="false">IFERROR(INDEX('Source Registry'!$B$2:$B$300,MATCH(A61,'Source Registry'!$A$2:$A$300,0)),"ID not found")</f>
        <v>National Pork Producers Council</v>
      </c>
      <c r="C61" s="8" t="s">
        <v>1373</v>
      </c>
      <c r="D61" s="9"/>
      <c r="E61" s="9"/>
      <c r="F61" s="9" t="s">
        <v>1367</v>
      </c>
      <c r="G61" s="9"/>
      <c r="H61" s="9"/>
    </row>
    <row r="62" customFormat="false" ht="15" hidden="false" customHeight="true" outlineLevel="0" collapsed="false">
      <c r="A62" s="8" t="s">
        <v>801</v>
      </c>
      <c r="B62" s="8" t="str">
        <f aca="false">IFERROR(INDEX('Source Registry'!$B$2:$B$300,MATCH(A62,'Source Registry'!$A$2:$A$300,0)),"ID not found")</f>
        <v>National Chicken Council</v>
      </c>
      <c r="C62" s="8" t="s">
        <v>1368</v>
      </c>
      <c r="D62" s="9"/>
      <c r="E62" s="9"/>
      <c r="F62" s="9" t="s">
        <v>1367</v>
      </c>
      <c r="G62" s="9"/>
      <c r="H62" s="9"/>
    </row>
    <row r="63" customFormat="false" ht="15" hidden="false" customHeight="true" outlineLevel="0" collapsed="false">
      <c r="A63" s="8" t="s">
        <v>806</v>
      </c>
      <c r="B63" s="8" t="str">
        <f aca="false">IFERROR(INDEX('Source Registry'!$B$2:$B$300,MATCH(A63,'Source Registry'!$A$2:$A$300,0)),"ID not found")</f>
        <v>United Egg Producers</v>
      </c>
      <c r="C63" s="8" t="s">
        <v>1373</v>
      </c>
      <c r="D63" s="9"/>
      <c r="E63" s="9"/>
      <c r="F63" s="9" t="s">
        <v>1367</v>
      </c>
      <c r="G63" s="9"/>
      <c r="H63" s="9"/>
    </row>
    <row r="64" customFormat="false" ht="15" hidden="false" customHeight="true" outlineLevel="0" collapsed="false">
      <c r="A64" s="8" t="s">
        <v>811</v>
      </c>
      <c r="B64" s="8" t="str">
        <f aca="false">IFERROR(INDEX('Source Registry'!$B$2:$B$300,MATCH(A64,'Source Registry'!$A$2:$A$300,0)),"ID not found")</f>
        <v>Western Growers</v>
      </c>
      <c r="C64" s="8" t="s">
        <v>1373</v>
      </c>
      <c r="D64" s="9"/>
      <c r="E64" s="9"/>
      <c r="F64" s="9"/>
      <c r="G64" s="9" t="s">
        <v>1367</v>
      </c>
      <c r="H64" s="9"/>
    </row>
    <row r="65" customFormat="false" ht="15" hidden="false" customHeight="true" outlineLevel="0" collapsed="false">
      <c r="A65" s="8" t="s">
        <v>815</v>
      </c>
      <c r="B65" s="8" t="str">
        <f aca="false">IFERROR(INDEX('Source Registry'!$B$2:$B$300,MATCH(A65,'Source Registry'!$A$2:$A$300,0)),"ID not found")</f>
        <v>The Fertilizer Institute</v>
      </c>
      <c r="C65" s="8" t="s">
        <v>1368</v>
      </c>
      <c r="D65" s="9"/>
      <c r="E65" s="9"/>
      <c r="F65" s="9"/>
      <c r="G65" s="9"/>
      <c r="H65" s="9" t="s">
        <v>1367</v>
      </c>
    </row>
    <row r="66" customFormat="false" ht="15" hidden="false" customHeight="true" outlineLevel="0" collapsed="false">
      <c r="A66" s="8" t="s">
        <v>820</v>
      </c>
      <c r="B66" s="8" t="str">
        <f aca="false">IFERROR(INDEX('Source Registry'!$B$2:$B$300,MATCH(A66,'Source Registry'!$A$2:$A$300,0)),"ID not found")</f>
        <v>American Farm Bureau Federation</v>
      </c>
      <c r="C66" s="8" t="s">
        <v>1373</v>
      </c>
      <c r="D66" s="9" t="s">
        <v>1367</v>
      </c>
      <c r="E66" s="9" t="s">
        <v>1367</v>
      </c>
      <c r="F66" s="9" t="s">
        <v>1367</v>
      </c>
      <c r="G66" s="9" t="s">
        <v>1367</v>
      </c>
      <c r="H66" s="9" t="s">
        <v>1367</v>
      </c>
    </row>
    <row r="67" customFormat="false" ht="15" hidden="false" customHeight="true" outlineLevel="0" collapsed="false">
      <c r="A67" s="8" t="s">
        <v>825</v>
      </c>
      <c r="B67" s="8" t="str">
        <f aca="false">IFERROR(INDEX('Source Registry'!$B$2:$B$300,MATCH(A67,'Source Registry'!$A$2:$A$300,0)),"ID not found")</f>
        <v>Agri-Pulse</v>
      </c>
      <c r="C67" s="8" t="s">
        <v>1368</v>
      </c>
      <c r="D67" s="9" t="s">
        <v>1367</v>
      </c>
      <c r="E67" s="9" t="s">
        <v>1367</v>
      </c>
      <c r="F67" s="9" t="s">
        <v>1367</v>
      </c>
      <c r="G67" s="9" t="s">
        <v>1367</v>
      </c>
      <c r="H67" s="9" t="s">
        <v>1367</v>
      </c>
    </row>
    <row r="68" customFormat="false" ht="15" hidden="false" customHeight="true" outlineLevel="0" collapsed="false">
      <c r="A68" s="8" t="s">
        <v>833</v>
      </c>
      <c r="B68" s="8" t="str">
        <f aca="false">IFERROR(INDEX('Source Registry'!$B$2:$B$300,MATCH(A68,'Source Registry'!$A$2:$A$300,0)),"ID not found")</f>
        <v>Hagstrom Report</v>
      </c>
      <c r="C68" s="8" t="s">
        <v>1368</v>
      </c>
      <c r="D68" s="9" t="s">
        <v>1367</v>
      </c>
      <c r="E68" s="9" t="s">
        <v>1367</v>
      </c>
      <c r="F68" s="9" t="s">
        <v>1367</v>
      </c>
      <c r="G68" s="9" t="s">
        <v>1367</v>
      </c>
      <c r="H68" s="9" t="s">
        <v>1367</v>
      </c>
    </row>
    <row r="70" customFormat="false" ht="15" hidden="false" customHeight="true" outlineLevel="0" collapsed="false">
      <c r="A70" s="16" t="s">
        <v>1374</v>
      </c>
      <c r="B70" s="21"/>
      <c r="C70" s="21"/>
      <c r="D70" s="17" t="n">
        <f aca="false">COUNTIF(D17:D68,"Y")</f>
        <v>37</v>
      </c>
      <c r="E70" s="17" t="n">
        <f aca="false">COUNTIF(E17:E68,"Y")</f>
        <v>35</v>
      </c>
      <c r="F70" s="17" t="n">
        <f aca="false">COUNTIF(F17:F68,"Y")</f>
        <v>40</v>
      </c>
      <c r="G70" s="17" t="n">
        <f aca="false">COUNTIF(G17:G68,"Y")</f>
        <v>36</v>
      </c>
      <c r="H70" s="17" t="n">
        <f aca="false">COUNTIF(H17:H68,"Y")</f>
        <v>23</v>
      </c>
    </row>
    <row r="71" customFormat="false" ht="15" hidden="false" customHeight="true" outlineLevel="0" collapsed="false">
      <c r="A71" s="13" t="s">
        <v>1375</v>
      </c>
      <c r="B71" s="21"/>
      <c r="C71" s="21"/>
      <c r="D71" s="14" t="n">
        <f aca="false">COUNTIFS(D17:D68,"Y",$C17:$C68,"US federal*")</f>
        <v>28</v>
      </c>
      <c r="E71" s="14" t="n">
        <f aca="false">COUNTIFS(E17:E68,"Y",$C17:$C68,"US federal*")</f>
        <v>27</v>
      </c>
      <c r="F71" s="14" t="n">
        <f aca="false">COUNTIFS(F17:F68,"Y",$C17:$C68,"US federal*")</f>
        <v>30</v>
      </c>
      <c r="G71" s="14" t="n">
        <f aca="false">COUNTIFS(G17:G68,"Y",$C17:$C68,"US federal*")</f>
        <v>28</v>
      </c>
      <c r="H71" s="14" t="n">
        <f aca="false">COUNTIFS(H17:H68,"Y",$C17:$C68,"US federal*")</f>
        <v>18</v>
      </c>
    </row>
    <row r="72" customFormat="false" ht="15" hidden="false" customHeight="true" outlineLevel="0" collapsed="false">
      <c r="A72" s="13" t="s">
        <v>1376</v>
      </c>
      <c r="B72" s="21"/>
      <c r="C72" s="21"/>
      <c r="D72" s="14" t="n">
        <f aca="false">COUNTIFS(D17:D68,"Y",$C17:$C68,"*state*")</f>
        <v>5</v>
      </c>
      <c r="E72" s="14" t="n">
        <f aca="false">COUNTIFS(E17:E68,"Y",$C17:$C68,"*state*")</f>
        <v>5</v>
      </c>
      <c r="F72" s="14" t="n">
        <f aca="false">COUNTIFS(F17:F68,"Y",$C17:$C68,"*state*")</f>
        <v>8</v>
      </c>
      <c r="G72" s="14" t="n">
        <f aca="false">COUNTIFS(G17:G68,"Y",$C17:$C68,"*state*")</f>
        <v>6</v>
      </c>
      <c r="H72" s="14" t="n">
        <f aca="false">COUNTIFS(H17:H68,"Y",$C17:$C68,"*state*")</f>
        <v>5</v>
      </c>
    </row>
    <row r="73" customFormat="false" ht="15" hidden="false" customHeight="true" outlineLevel="0" collapsed="false">
      <c r="A73" s="13" t="s">
        <v>1377</v>
      </c>
      <c r="B73" s="21"/>
      <c r="C73" s="21"/>
      <c r="D73" s="14" t="n">
        <f aca="false">COUNTIFS(D17:D68,"Y",$C17:$C68,"*international*")</f>
        <v>8</v>
      </c>
      <c r="E73" s="14" t="n">
        <f aca="false">COUNTIFS(E17:E68,"Y",$C17:$C68,"*international*")</f>
        <v>7</v>
      </c>
      <c r="F73" s="14" t="n">
        <f aca="false">COUNTIFS(F17:F68,"Y",$C17:$C68,"*international*")</f>
        <v>8</v>
      </c>
      <c r="G73" s="14" t="n">
        <f aca="false">COUNTIFS(G17:G68,"Y",$C17:$C68,"*international*")</f>
        <v>8</v>
      </c>
      <c r="H73" s="14" t="n">
        <f aca="false">COUNTIFS(H17:H68,"Y",$C17:$C68,"*international*")</f>
        <v>5</v>
      </c>
    </row>
    <row r="74" customFormat="false" ht="15" hidden="false" customHeight="true" outlineLevel="0" collapsed="false">
      <c r="A74" s="16" t="s">
        <v>1378</v>
      </c>
      <c r="B74" s="21"/>
      <c r="C74" s="21"/>
      <c r="D74" s="17" t="str">
        <f aca="false">IF(AND(D71&gt;0,D72&gt;0,D73&gt;0),"Covered","Gap")</f>
        <v>Covered</v>
      </c>
      <c r="E74" s="17" t="str">
        <f aca="false">IF(AND(E71&gt;0,E72&gt;0,E73&gt;0),"Covered","Gap")</f>
        <v>Covered</v>
      </c>
      <c r="F74" s="17" t="str">
        <f aca="false">IF(AND(F71&gt;0,F72&gt;0,F73&gt;0),"Covered","Gap")</f>
        <v>Covered</v>
      </c>
      <c r="G74" s="17" t="str">
        <f aca="false">IF(AND(G71&gt;0,G72&gt;0,G73&gt;0),"Covered","Gap")</f>
        <v>Covered</v>
      </c>
      <c r="H74" s="17" t="str">
        <f aca="false">IF(AND(H71&gt;0,H72&gt;0,H73&gt;0),"Covered","Gap")</f>
        <v>Covered</v>
      </c>
    </row>
    <row r="76" customFormat="false" ht="15" hidden="false" customHeight="true" outlineLevel="0" collapsed="false">
      <c r="A76" s="12" t="s">
        <v>1379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52"/>
    <col collapsed="false" customWidth="true" hidden="false" outlineLevel="0" max="4" min="4" style="1" width="14"/>
    <col collapsed="false" customWidth="true" hidden="false" outlineLevel="0" max="5" min="5" style="1" width="36"/>
    <col collapsed="false" customWidth="true" hidden="false" outlineLevel="0" max="6" min="6" style="1" width="26"/>
    <col collapsed="false" customWidth="true" hidden="false" outlineLevel="0" max="7" min="7" style="1" width="24"/>
    <col collapsed="false" customWidth="true" hidden="false" outlineLevel="0" max="8" min="8" style="1" width="18"/>
    <col collapsed="false" customWidth="true" hidden="false" outlineLevel="0" max="9" min="9" style="1" width="56"/>
  </cols>
  <sheetData>
    <row r="1" customFormat="false" ht="17.25" hidden="false" customHeight="true" outlineLevel="0" collapsed="false">
      <c r="A1" s="2" t="s">
        <v>1380</v>
      </c>
    </row>
    <row r="2" customFormat="false" ht="15" hidden="false" customHeight="true" outlineLevel="0" collapsed="false">
      <c r="A2" s="12" t="s">
        <v>1381</v>
      </c>
    </row>
    <row r="4" customFormat="false" ht="15" hidden="false" customHeight="true" outlineLevel="0" collapsed="false">
      <c r="A4" s="5" t="s">
        <v>1382</v>
      </c>
      <c r="B4" s="22" t="n">
        <v>14</v>
      </c>
      <c r="C4" s="12" t="s">
        <v>1383</v>
      </c>
    </row>
    <row r="5" customFormat="false" ht="15" hidden="false" customHeight="true" outlineLevel="0" collapsed="false">
      <c r="A5" s="5" t="s">
        <v>1384</v>
      </c>
      <c r="B5" s="22" t="n">
        <v>30</v>
      </c>
      <c r="C5" s="12" t="s">
        <v>1385</v>
      </c>
    </row>
    <row r="6" customFormat="false" ht="15" hidden="false" customHeight="true" outlineLevel="0" collapsed="false">
      <c r="A6" s="5" t="s">
        <v>1386</v>
      </c>
      <c r="B6" s="22" t="n">
        <v>60</v>
      </c>
      <c r="C6" s="12" t="s">
        <v>1387</v>
      </c>
    </row>
    <row r="9" customFormat="false" ht="30" hidden="false" customHeight="true" outlineLevel="0" collapsed="false">
      <c r="A9" s="7" t="s">
        <v>1388</v>
      </c>
      <c r="B9" s="7" t="s">
        <v>1389</v>
      </c>
      <c r="C9" s="7" t="s">
        <v>1390</v>
      </c>
      <c r="D9" s="7" t="s">
        <v>1391</v>
      </c>
      <c r="E9" s="7" t="s">
        <v>1392</v>
      </c>
      <c r="F9" s="7" t="s">
        <v>1393</v>
      </c>
      <c r="G9" s="7" t="s">
        <v>1394</v>
      </c>
      <c r="H9" s="7" t="s">
        <v>1395</v>
      </c>
      <c r="I9" s="7" t="s">
        <v>1396</v>
      </c>
    </row>
    <row r="10" customFormat="false" ht="23.25" hidden="false" customHeight="true" outlineLevel="0" collapsed="false">
      <c r="A10" s="9" t="n">
        <v>1</v>
      </c>
      <c r="B10" s="8" t="s">
        <v>1397</v>
      </c>
      <c r="C10" s="8" t="s">
        <v>1398</v>
      </c>
      <c r="D10" s="8" t="s">
        <v>632</v>
      </c>
      <c r="E10" s="8" t="str">
        <f aca="false">IFERROR(INDEX('Source Registry'!$B$2:$B$300,MATCH(D10,'Source Registry'!$A$2:$A$300,0)),"ID not found")</f>
        <v>Unified Agenda and OIRA review</v>
      </c>
      <c r="F10" s="8" t="s">
        <v>1399</v>
      </c>
      <c r="G10" s="8" t="s">
        <v>1400</v>
      </c>
      <c r="H10" s="8" t="s">
        <v>1401</v>
      </c>
      <c r="I10" s="8" t="s">
        <v>1402</v>
      </c>
    </row>
    <row r="11" customFormat="false" ht="23.25" hidden="false" customHeight="true" outlineLevel="0" collapsed="false">
      <c r="A11" s="9" t="n">
        <v>2</v>
      </c>
      <c r="B11" s="8" t="s">
        <v>1403</v>
      </c>
      <c r="C11" s="8" t="s">
        <v>1404</v>
      </c>
      <c r="D11" s="8" t="s">
        <v>600</v>
      </c>
      <c r="E11" s="8" t="str">
        <f aca="false">IFERROR(INDEX('Source Registry'!$B$2:$B$300,MATCH(D11,'Source Registry'!$A$2:$A$300,0)),"ID not found")</f>
        <v>Congress.gov</v>
      </c>
      <c r="F11" s="8" t="s">
        <v>1405</v>
      </c>
      <c r="G11" s="8" t="s">
        <v>1406</v>
      </c>
      <c r="H11" s="8" t="s">
        <v>193</v>
      </c>
      <c r="I11" s="8" t="s">
        <v>1407</v>
      </c>
    </row>
    <row r="12" customFormat="false" ht="23.25" hidden="false" customHeight="true" outlineLevel="0" collapsed="false">
      <c r="A12" s="9" t="n">
        <v>3</v>
      </c>
      <c r="B12" s="8" t="s">
        <v>1408</v>
      </c>
      <c r="C12" s="8" t="s">
        <v>1409</v>
      </c>
      <c r="D12" s="8" t="s">
        <v>500</v>
      </c>
      <c r="E12" s="8" t="str">
        <f aca="false">IFERROR(INDEX('Source Registry'!$B$2:$B$300,MATCH(D12,'Source Registry'!$A$2:$A$300,0)),"ID not found")</f>
        <v>Federal Register</v>
      </c>
      <c r="F12" s="8" t="s">
        <v>1410</v>
      </c>
      <c r="G12" s="8" t="s">
        <v>1411</v>
      </c>
      <c r="H12" s="8" t="s">
        <v>587</v>
      </c>
      <c r="I12" s="8" t="s">
        <v>1412</v>
      </c>
    </row>
    <row r="13" customFormat="false" ht="23.25" hidden="false" customHeight="true" outlineLevel="0" collapsed="false">
      <c r="A13" s="9" t="n">
        <v>4</v>
      </c>
      <c r="B13" s="8" t="s">
        <v>1413</v>
      </c>
      <c r="C13" s="8" t="str">
        <f aca="false">"A docket tied to the farm closes comments within "&amp;$B$4&amp;" days"</f>
        <v>A docket tied to the farm closes comments within 14 days</v>
      </c>
      <c r="D13" s="8" t="s">
        <v>627</v>
      </c>
      <c r="E13" s="8" t="str">
        <f aca="false">IFERROR(INDEX('Source Registry'!$B$2:$B$300,MATCH(D13,'Source Registry'!$A$2:$A$300,0)),"ID not found")</f>
        <v>Regulations.gov dockets</v>
      </c>
      <c r="F13" s="8" t="s">
        <v>1414</v>
      </c>
      <c r="G13" s="8" t="s">
        <v>1411</v>
      </c>
      <c r="H13" s="8" t="s">
        <v>82</v>
      </c>
      <c r="I13" s="8" t="s">
        <v>1415</v>
      </c>
    </row>
    <row r="14" customFormat="false" ht="15" hidden="false" customHeight="true" outlineLevel="0" collapsed="false">
      <c r="A14" s="9" t="n">
        <v>5</v>
      </c>
      <c r="B14" s="8" t="s">
        <v>1416</v>
      </c>
      <c r="C14" s="8" t="str">
        <f aca="false">"A final rule is published, or takes effect within "&amp;$B$6&amp;" days"</f>
        <v>A final rule is published, or takes effect within 60 days</v>
      </c>
      <c r="D14" s="8" t="s">
        <v>500</v>
      </c>
      <c r="E14" s="8" t="str">
        <f aca="false">IFERROR(INDEX('Source Registry'!$B$2:$B$300,MATCH(D14,'Source Registry'!$A$2:$A$300,0)),"ID not found")</f>
        <v>Federal Register</v>
      </c>
      <c r="F14" s="8" t="s">
        <v>1417</v>
      </c>
      <c r="G14" s="8" t="s">
        <v>1411</v>
      </c>
      <c r="H14" s="8" t="s">
        <v>193</v>
      </c>
      <c r="I14" s="8" t="s">
        <v>1418</v>
      </c>
    </row>
    <row r="15" customFormat="false" ht="23.25" hidden="false" customHeight="true" outlineLevel="0" collapsed="false">
      <c r="A15" s="9" t="n">
        <v>6</v>
      </c>
      <c r="B15" s="8" t="s">
        <v>1419</v>
      </c>
      <c r="C15" s="8" t="str">
        <f aca="false">"A program sign-up, payment rule, or deadline falls within "&amp;$B$5&amp;" days"</f>
        <v>A program sign-up, payment rule, or deadline falls within 30 days</v>
      </c>
      <c r="D15" s="8" t="s">
        <v>639</v>
      </c>
      <c r="E15" s="8" t="str">
        <f aca="false">IFERROR(INDEX('Source Registry'!$B$2:$B$300,MATCH(D15,'Source Registry'!$A$2:$A$300,0)),"ID not found")</f>
        <v>USDA FSA program notices</v>
      </c>
      <c r="F15" s="8" t="s">
        <v>1420</v>
      </c>
      <c r="G15" s="8" t="s">
        <v>1411</v>
      </c>
      <c r="H15" s="8" t="s">
        <v>587</v>
      </c>
      <c r="I15" s="8" t="s">
        <v>1421</v>
      </c>
    </row>
    <row r="16" customFormat="false" ht="23.25" hidden="false" customHeight="true" outlineLevel="0" collapsed="false">
      <c r="A16" s="9" t="n">
        <v>7</v>
      </c>
      <c r="B16" s="8" t="s">
        <v>1422</v>
      </c>
      <c r="C16" s="8" t="s">
        <v>1423</v>
      </c>
      <c r="D16" s="8" t="s">
        <v>645</v>
      </c>
      <c r="E16" s="8" t="str">
        <f aca="false">IFERROR(INDEX('Source Registry'!$B$2:$B$300,MATCH(D16,'Source Registry'!$A$2:$A$300,0)),"ID not found")</f>
        <v>Federal Milk Marketing Orders</v>
      </c>
      <c r="F16" s="8" t="s">
        <v>650</v>
      </c>
      <c r="G16" s="8" t="s">
        <v>1424</v>
      </c>
      <c r="H16" s="8" t="s">
        <v>193</v>
      </c>
      <c r="I16" s="8" t="s">
        <v>1425</v>
      </c>
    </row>
    <row r="17" customFormat="false" ht="23.25" hidden="false" customHeight="true" outlineLevel="0" collapsed="false">
      <c r="A17" s="9" t="n">
        <v>8</v>
      </c>
      <c r="B17" s="8" t="s">
        <v>1426</v>
      </c>
      <c r="C17" s="8" t="s">
        <v>1427</v>
      </c>
      <c r="D17" s="8" t="s">
        <v>480</v>
      </c>
      <c r="E17" s="8" t="str">
        <f aca="false">IFERROR(INDEX('Source Registry'!$B$2:$B$300,MATCH(D17,'Source Registry'!$A$2:$A$300,0)),"ID not found")</f>
        <v>USTR trade actions</v>
      </c>
      <c r="F17" s="8" t="s">
        <v>1428</v>
      </c>
      <c r="G17" s="8" t="s">
        <v>1411</v>
      </c>
      <c r="H17" s="8" t="s">
        <v>82</v>
      </c>
      <c r="I17" s="8" t="s">
        <v>1429</v>
      </c>
    </row>
    <row r="18" customFormat="false" ht="23.25" hidden="false" customHeight="true" outlineLevel="0" collapsed="false">
      <c r="A18" s="9" t="n">
        <v>9</v>
      </c>
      <c r="B18" s="8" t="s">
        <v>1430</v>
      </c>
      <c r="C18" s="8" t="s">
        <v>1431</v>
      </c>
      <c r="D18" s="8" t="s">
        <v>666</v>
      </c>
      <c r="E18" s="8" t="str">
        <f aca="false">IFERROR(INDEX('Source Registry'!$B$2:$B$300,MATCH(D18,'Source Registry'!$A$2:$A$300,0)),"ID not found")</f>
        <v>APHIS regulations (animal disease, plant health, biotechnology)</v>
      </c>
      <c r="F18" s="8" t="s">
        <v>1432</v>
      </c>
      <c r="G18" s="8" t="s">
        <v>1433</v>
      </c>
      <c r="H18" s="8" t="s">
        <v>1434</v>
      </c>
      <c r="I18" s="8" t="s">
        <v>1435</v>
      </c>
    </row>
    <row r="19" customFormat="false" ht="23.25" hidden="false" customHeight="true" outlineLevel="0" collapsed="false">
      <c r="A19" s="9" t="n">
        <v>10</v>
      </c>
      <c r="B19" s="8" t="s">
        <v>1436</v>
      </c>
      <c r="C19" s="8" t="s">
        <v>1437</v>
      </c>
      <c r="D19" s="8" t="s">
        <v>720</v>
      </c>
      <c r="E19" s="8" t="str">
        <f aca="false">IFERROR(INDEX('Source Registry'!$B$2:$B$300,MATCH(D19,'Source Registry'!$A$2:$A$300,0)),"ID not found")</f>
        <v>LegiScan</v>
      </c>
      <c r="F19" s="8" t="s">
        <v>1438</v>
      </c>
      <c r="G19" s="8" t="s">
        <v>1439</v>
      </c>
      <c r="H19" s="8" t="s">
        <v>193</v>
      </c>
      <c r="I19" s="8" t="s">
        <v>1440</v>
      </c>
    </row>
    <row r="20" customFormat="false" ht="23.25" hidden="false" customHeight="true" outlineLevel="0" collapsed="false">
      <c r="A20" s="9" t="n">
        <v>11</v>
      </c>
      <c r="B20" s="8" t="s">
        <v>1441</v>
      </c>
      <c r="C20" s="8" t="s">
        <v>1442</v>
      </c>
      <c r="D20" s="8" t="s">
        <v>733</v>
      </c>
      <c r="E20" s="8" t="str">
        <f aca="false">IFERROR(INDEX('Source Registry'!$B$2:$B$300,MATCH(D20,'Source Registry'!$A$2:$A$300,0)),"ID not found")</f>
        <v>National Agricultural Law Center</v>
      </c>
      <c r="F20" s="8" t="s">
        <v>1443</v>
      </c>
      <c r="G20" s="8" t="s">
        <v>1411</v>
      </c>
      <c r="H20" s="8" t="s">
        <v>1444</v>
      </c>
      <c r="I20" s="8" t="s">
        <v>1445</v>
      </c>
    </row>
    <row r="21" customFormat="false" ht="23.25" hidden="false" customHeight="true" outlineLevel="0" collapsed="false">
      <c r="A21" s="9" t="n">
        <v>12</v>
      </c>
      <c r="B21" s="8" t="s">
        <v>1446</v>
      </c>
      <c r="C21" s="8" t="s">
        <v>1447</v>
      </c>
      <c r="D21" s="8" t="s">
        <v>703</v>
      </c>
      <c r="E21" s="8" t="str">
        <f aca="false">IFERROR(INDEX('Source Registry'!$B$2:$B$300,MATCH(D21,'Source Registry'!$A$2:$A$300,0)),"ID not found")</f>
        <v>IRS and Treasury guidance for farms</v>
      </c>
      <c r="F21" s="8" t="s">
        <v>1448</v>
      </c>
      <c r="G21" s="8" t="s">
        <v>1400</v>
      </c>
      <c r="H21" s="8" t="s">
        <v>1401</v>
      </c>
      <c r="I21" s="8" t="s">
        <v>1449</v>
      </c>
    </row>
    <row r="22" customFormat="false" ht="23.25" hidden="false" customHeight="true" outlineLevel="0" collapsed="false">
      <c r="A22" s="9" t="n">
        <v>13</v>
      </c>
      <c r="B22" s="8" t="s">
        <v>1450</v>
      </c>
      <c r="C22" s="8" t="s">
        <v>1451</v>
      </c>
      <c r="D22" s="8" t="s">
        <v>518</v>
      </c>
      <c r="E22" s="8" t="str">
        <f aca="false">IFERROR(INDEX('Source Registry'!$B$2:$B$300,MATCH(D22,'Source Registry'!$A$2:$A$300,0)),"ID not found")</f>
        <v>FDA food regulation and approvals</v>
      </c>
      <c r="F22" s="8" t="s">
        <v>1452</v>
      </c>
      <c r="G22" s="8" t="s">
        <v>1400</v>
      </c>
      <c r="H22" s="8" t="s">
        <v>1453</v>
      </c>
      <c r="I22" s="8" t="s">
        <v>1454</v>
      </c>
    </row>
    <row r="23" customFormat="false" ht="23.25" hidden="false" customHeight="true" outlineLevel="0" collapsed="false">
      <c r="A23" s="9" t="n">
        <v>14</v>
      </c>
      <c r="B23" s="8" t="s">
        <v>1455</v>
      </c>
      <c r="C23" s="8" t="s">
        <v>1456</v>
      </c>
      <c r="D23" s="8" t="s">
        <v>757</v>
      </c>
      <c r="E23" s="8" t="str">
        <f aca="false">IFERROR(INDEX('Source Registry'!$B$2:$B$300,MATCH(D23,'Source Registry'!$A$2:$A$300,0)),"ID not found")</f>
        <v>EU Common Agricultural Policy and EUR-Lex</v>
      </c>
      <c r="F23" s="8" t="s">
        <v>1457</v>
      </c>
      <c r="G23" s="8" t="s">
        <v>1400</v>
      </c>
      <c r="H23" s="8" t="s">
        <v>1401</v>
      </c>
      <c r="I23" s="8" t="s">
        <v>1458</v>
      </c>
    </row>
    <row r="24" customFormat="false" ht="23.25" hidden="false" customHeight="true" outlineLevel="0" collapsed="false">
      <c r="A24" s="9" t="n">
        <v>15</v>
      </c>
      <c r="B24" s="8" t="s">
        <v>1459</v>
      </c>
      <c r="C24" s="8" t="s">
        <v>1460</v>
      </c>
      <c r="D24" s="8" t="s">
        <v>594</v>
      </c>
      <c r="E24" s="8" t="str">
        <f aca="false">IFERROR(INDEX('Source Registry'!$B$2:$B$300,MATCH(D24,'Source Registry'!$A$2:$A$300,0)),"ID not found")</f>
        <v>DOJ Antitrust and FTC actions</v>
      </c>
      <c r="F24" s="8" t="s">
        <v>655</v>
      </c>
      <c r="G24" s="8" t="s">
        <v>1400</v>
      </c>
      <c r="H24" s="8" t="s">
        <v>1401</v>
      </c>
      <c r="I24" s="8" t="s">
        <v>1461</v>
      </c>
    </row>
    <row r="26" customFormat="false" ht="17.25" hidden="false" customHeight="true" outlineLevel="0" collapsed="false">
      <c r="A26" s="2" t="s">
        <v>1462</v>
      </c>
    </row>
    <row r="27" customFormat="false" ht="30" hidden="false" customHeight="true" outlineLevel="0" collapsed="false">
      <c r="A27" s="23" t="s">
        <v>1463</v>
      </c>
      <c r="B27" s="23"/>
      <c r="C27" s="24" t="s">
        <v>1464</v>
      </c>
      <c r="D27" s="24"/>
      <c r="E27" s="24"/>
      <c r="F27" s="24"/>
      <c r="G27" s="24"/>
      <c r="H27" s="24"/>
      <c r="I27" s="24"/>
    </row>
    <row r="28" customFormat="false" ht="30" hidden="false" customHeight="true" outlineLevel="0" collapsed="false">
      <c r="A28" s="23" t="s">
        <v>1465</v>
      </c>
      <c r="B28" s="23"/>
      <c r="C28" s="24" t="s">
        <v>1466</v>
      </c>
      <c r="D28" s="24"/>
      <c r="E28" s="24"/>
      <c r="F28" s="24"/>
      <c r="G28" s="24"/>
      <c r="H28" s="24"/>
      <c r="I28" s="24"/>
    </row>
    <row r="29" customFormat="false" ht="30" hidden="false" customHeight="true" outlineLevel="0" collapsed="false">
      <c r="A29" s="23" t="s">
        <v>1467</v>
      </c>
      <c r="B29" s="23"/>
      <c r="C29" s="24" t="s">
        <v>1468</v>
      </c>
      <c r="D29" s="24"/>
      <c r="E29" s="24"/>
      <c r="F29" s="24"/>
      <c r="G29" s="24"/>
      <c r="H29" s="24"/>
      <c r="I29" s="24"/>
    </row>
    <row r="30" customFormat="false" ht="30" hidden="false" customHeight="true" outlineLevel="0" collapsed="false">
      <c r="A30" s="23" t="s">
        <v>1469</v>
      </c>
      <c r="B30" s="23"/>
      <c r="C30" s="24" t="s">
        <v>1470</v>
      </c>
      <c r="D30" s="24"/>
      <c r="E30" s="24"/>
      <c r="F30" s="24"/>
      <c r="G30" s="24"/>
      <c r="H30" s="24"/>
      <c r="I30" s="24"/>
    </row>
    <row r="31" customFormat="false" ht="30" hidden="false" customHeight="true" outlineLevel="0" collapsed="false">
      <c r="A31" s="23" t="s">
        <v>1471</v>
      </c>
      <c r="B31" s="23"/>
      <c r="C31" s="24" t="s">
        <v>1472</v>
      </c>
      <c r="D31" s="24"/>
      <c r="E31" s="24"/>
      <c r="F31" s="24"/>
      <c r="G31" s="24"/>
      <c r="H31" s="24"/>
      <c r="I31" s="24"/>
    </row>
    <row r="32" customFormat="false" ht="30" hidden="false" customHeight="true" outlineLevel="0" collapsed="false">
      <c r="A32" s="23" t="s">
        <v>1473</v>
      </c>
      <c r="B32" s="23"/>
      <c r="C32" s="24" t="s">
        <v>1474</v>
      </c>
      <c r="D32" s="24"/>
      <c r="E32" s="24"/>
      <c r="F32" s="24"/>
      <c r="G32" s="24"/>
      <c r="H32" s="24"/>
      <c r="I32" s="24"/>
    </row>
    <row r="33" customFormat="false" ht="30" hidden="false" customHeight="true" outlineLevel="0" collapsed="false">
      <c r="A33" s="23" t="s">
        <v>1475</v>
      </c>
      <c r="B33" s="23"/>
      <c r="C33" s="24" t="s">
        <v>1476</v>
      </c>
      <c r="D33" s="24"/>
      <c r="E33" s="24"/>
      <c r="F33" s="24"/>
      <c r="G33" s="24"/>
      <c r="H33" s="24"/>
      <c r="I33" s="24"/>
    </row>
  </sheetData>
  <mergeCells count="14">
    <mergeCell ref="A27:B27"/>
    <mergeCell ref="C27:I27"/>
    <mergeCell ref="A28:B28"/>
    <mergeCell ref="C28:I28"/>
    <mergeCell ref="A29:B29"/>
    <mergeCell ref="C29:I29"/>
    <mergeCell ref="A30:B30"/>
    <mergeCell ref="C30:I30"/>
    <mergeCell ref="A31:B31"/>
    <mergeCell ref="C31:I31"/>
    <mergeCell ref="A32:B32"/>
    <mergeCell ref="C32:I32"/>
    <mergeCell ref="A33:B33"/>
    <mergeCell ref="C33:I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6"/>
    <col collapsed="false" customWidth="true" hidden="false" outlineLevel="0" max="3" min="3" style="1" width="48"/>
    <col collapsed="false" customWidth="true" hidden="false" outlineLevel="0" max="4" min="4" style="1" width="52"/>
    <col collapsed="false" customWidth="true" hidden="false" outlineLevel="0" max="5" min="5" style="1" width="10"/>
    <col collapsed="false" customWidth="true" hidden="false" outlineLevel="0" max="6" min="6" style="1" width="12"/>
  </cols>
  <sheetData>
    <row r="1" customFormat="false" ht="17.25" hidden="false" customHeight="true" outlineLevel="0" collapsed="false">
      <c r="A1" s="2" t="s">
        <v>1477</v>
      </c>
    </row>
    <row r="2" customFormat="false" ht="15" hidden="false" customHeight="true" outlineLevel="0" collapsed="false">
      <c r="A2" s="12" t="s">
        <v>1478</v>
      </c>
    </row>
    <row r="4" customFormat="false" ht="15" hidden="false" customHeight="true" outlineLevel="0" collapsed="false">
      <c r="A4" s="5" t="s">
        <v>1479</v>
      </c>
      <c r="B4" s="6" t="n">
        <f aca="false">COUNTIF(F8:F73,"Covered")</f>
        <v>49</v>
      </c>
    </row>
    <row r="5" customFormat="false" ht="15" hidden="false" customHeight="true" outlineLevel="0" collapsed="false">
      <c r="A5" s="5" t="s">
        <v>1480</v>
      </c>
      <c r="B5" s="6" t="n">
        <f aca="false">COUNTIF(F8:F73,"Thin")</f>
        <v>16</v>
      </c>
    </row>
    <row r="6" customFormat="false" ht="15" hidden="false" customHeight="true" outlineLevel="0" collapsed="false">
      <c r="A6" s="5" t="s">
        <v>1481</v>
      </c>
      <c r="B6" s="6" t="n">
        <f aca="false">COUNTIF(F8:F73,"Gap")</f>
        <v>1</v>
      </c>
    </row>
    <row r="7" customFormat="false" ht="30" hidden="false" customHeight="true" outlineLevel="0" collapsed="false">
      <c r="A7" s="7" t="s">
        <v>1289</v>
      </c>
      <c r="B7" s="7" t="s">
        <v>1482</v>
      </c>
      <c r="C7" s="7" t="s">
        <v>1483</v>
      </c>
      <c r="D7" s="7" t="s">
        <v>1484</v>
      </c>
      <c r="E7" s="7" t="s">
        <v>1311</v>
      </c>
      <c r="F7" s="7" t="s">
        <v>1485</v>
      </c>
    </row>
    <row r="8" customFormat="false" ht="15" hidden="false" customHeight="true" outlineLevel="0" collapsed="false">
      <c r="A8" s="8" t="s">
        <v>547</v>
      </c>
      <c r="B8" s="8" t="s">
        <v>1486</v>
      </c>
      <c r="C8" s="8" t="s">
        <v>1487</v>
      </c>
      <c r="D8" s="11" t="s">
        <v>1488</v>
      </c>
      <c r="E8" s="9" t="n">
        <f aca="false">IF(D8="",0,LEN(D8)-LEN(SUBSTITUTE(D8,",",""))+1)</f>
        <v>4</v>
      </c>
      <c r="F8" s="9" t="str">
        <f aca="false">IF(E8=0,"Gap",IF(E8=1,"Thin","Covered"))</f>
        <v>Covered</v>
      </c>
    </row>
    <row r="9" customFormat="false" ht="15" hidden="false" customHeight="true" outlineLevel="0" collapsed="false">
      <c r="A9" s="8" t="s">
        <v>547</v>
      </c>
      <c r="B9" s="8" t="s">
        <v>1489</v>
      </c>
      <c r="C9" s="8" t="s">
        <v>1490</v>
      </c>
      <c r="D9" s="11" t="s">
        <v>1491</v>
      </c>
      <c r="E9" s="9" t="n">
        <f aca="false">IF(D9="",0,LEN(D9)-LEN(SUBSTITUTE(D9,",",""))+1)</f>
        <v>3</v>
      </c>
      <c r="F9" s="9" t="str">
        <f aca="false">IF(E9=0,"Gap",IF(E9=1,"Thin","Covered"))</f>
        <v>Covered</v>
      </c>
    </row>
    <row r="10" customFormat="false" ht="15" hidden="false" customHeight="true" outlineLevel="0" collapsed="false">
      <c r="A10" s="8" t="s">
        <v>547</v>
      </c>
      <c r="B10" s="8" t="s">
        <v>1492</v>
      </c>
      <c r="C10" s="8" t="s">
        <v>1493</v>
      </c>
      <c r="D10" s="11" t="s">
        <v>1494</v>
      </c>
      <c r="E10" s="9" t="n">
        <f aca="false">IF(D10="",0,LEN(D10)-LEN(SUBSTITUTE(D10,",",""))+1)</f>
        <v>2</v>
      </c>
      <c r="F10" s="9" t="str">
        <f aca="false">IF(E10=0,"Gap",IF(E10=1,"Thin","Covered"))</f>
        <v>Covered</v>
      </c>
    </row>
    <row r="11" customFormat="false" ht="15" hidden="false" customHeight="true" outlineLevel="0" collapsed="false">
      <c r="A11" s="8" t="s">
        <v>547</v>
      </c>
      <c r="B11" s="8" t="s">
        <v>1495</v>
      </c>
      <c r="C11" s="8" t="s">
        <v>1496</v>
      </c>
      <c r="D11" s="11" t="s">
        <v>1497</v>
      </c>
      <c r="E11" s="9" t="n">
        <f aca="false">IF(D11="",0,LEN(D11)-LEN(SUBSTITUTE(D11,",",""))+1)</f>
        <v>3</v>
      </c>
      <c r="F11" s="9" t="str">
        <f aca="false">IF(E11=0,"Gap",IF(E11=1,"Thin","Covered"))</f>
        <v>Covered</v>
      </c>
    </row>
    <row r="12" customFormat="false" ht="15" hidden="false" customHeight="true" outlineLevel="0" collapsed="false">
      <c r="A12" s="8" t="s">
        <v>547</v>
      </c>
      <c r="B12" s="8" t="s">
        <v>1498</v>
      </c>
      <c r="C12" s="8" t="s">
        <v>1499</v>
      </c>
      <c r="D12" s="11" t="s">
        <v>1500</v>
      </c>
      <c r="E12" s="9" t="n">
        <f aca="false">IF(D12="",0,LEN(D12)-LEN(SUBSTITUTE(D12,",",""))+1)</f>
        <v>3</v>
      </c>
      <c r="F12" s="9" t="str">
        <f aca="false">IF(E12=0,"Gap",IF(E12=1,"Thin","Covered"))</f>
        <v>Covered</v>
      </c>
    </row>
    <row r="13" customFormat="false" ht="15" hidden="false" customHeight="true" outlineLevel="0" collapsed="false">
      <c r="A13" s="8" t="s">
        <v>547</v>
      </c>
      <c r="B13" s="8" t="s">
        <v>1501</v>
      </c>
      <c r="C13" s="8" t="s">
        <v>1502</v>
      </c>
      <c r="D13" s="11" t="s">
        <v>1503</v>
      </c>
      <c r="E13" s="9" t="n">
        <f aca="false">IF(D13="",0,LEN(D13)-LEN(SUBSTITUTE(D13,",",""))+1)</f>
        <v>2</v>
      </c>
      <c r="F13" s="9" t="str">
        <f aca="false">IF(E13=0,"Gap",IF(E13=1,"Thin","Covered"))</f>
        <v>Covered</v>
      </c>
    </row>
    <row r="14" customFormat="false" ht="15" hidden="false" customHeight="true" outlineLevel="0" collapsed="false">
      <c r="A14" s="8" t="s">
        <v>547</v>
      </c>
      <c r="B14" s="8" t="s">
        <v>1504</v>
      </c>
      <c r="C14" s="8" t="s">
        <v>1505</v>
      </c>
      <c r="D14" s="11" t="s">
        <v>1506</v>
      </c>
      <c r="E14" s="9" t="n">
        <f aca="false">IF(D14="",0,LEN(D14)-LEN(SUBSTITUTE(D14,",",""))+1)</f>
        <v>4</v>
      </c>
      <c r="F14" s="9" t="str">
        <f aca="false">IF(E14=0,"Gap",IF(E14=1,"Thin","Covered"))</f>
        <v>Covered</v>
      </c>
    </row>
    <row r="15" customFormat="false" ht="15" hidden="false" customHeight="true" outlineLevel="0" collapsed="false">
      <c r="A15" s="8" t="s">
        <v>547</v>
      </c>
      <c r="B15" s="8" t="s">
        <v>1507</v>
      </c>
      <c r="C15" s="8" t="s">
        <v>1508</v>
      </c>
      <c r="D15" s="11" t="s">
        <v>1509</v>
      </c>
      <c r="E15" s="9" t="n">
        <f aca="false">IF(D15="",0,LEN(D15)-LEN(SUBSTITUTE(D15,",",""))+1)</f>
        <v>3</v>
      </c>
      <c r="F15" s="9" t="str">
        <f aca="false">IF(E15=0,"Gap",IF(E15=1,"Thin","Covered"))</f>
        <v>Covered</v>
      </c>
    </row>
    <row r="16" customFormat="false" ht="15" hidden="false" customHeight="true" outlineLevel="0" collapsed="false">
      <c r="A16" s="8" t="s">
        <v>547</v>
      </c>
      <c r="B16" s="8" t="s">
        <v>1510</v>
      </c>
      <c r="C16" s="8" t="s">
        <v>1511</v>
      </c>
      <c r="D16" s="11" t="s">
        <v>1512</v>
      </c>
      <c r="E16" s="9" t="n">
        <f aca="false">IF(D16="",0,LEN(D16)-LEN(SUBSTITUTE(D16,",",""))+1)</f>
        <v>4</v>
      </c>
      <c r="F16" s="9" t="str">
        <f aca="false">IF(E16=0,"Gap",IF(E16=1,"Thin","Covered"))</f>
        <v>Covered</v>
      </c>
    </row>
    <row r="17" customFormat="false" ht="15" hidden="false" customHeight="true" outlineLevel="0" collapsed="false">
      <c r="A17" s="8" t="s">
        <v>547</v>
      </c>
      <c r="B17" s="8" t="s">
        <v>1513</v>
      </c>
      <c r="C17" s="8" t="s">
        <v>1514</v>
      </c>
      <c r="D17" s="11" t="s">
        <v>565</v>
      </c>
      <c r="E17" s="9" t="n">
        <f aca="false">IF(D17="",0,LEN(D17)-LEN(SUBSTITUTE(D17,",",""))+1)</f>
        <v>1</v>
      </c>
      <c r="F17" s="9" t="str">
        <f aca="false">IF(E17=0,"Gap",IF(E17=1,"Thin","Covered"))</f>
        <v>Thin</v>
      </c>
    </row>
    <row r="18" customFormat="false" ht="15" hidden="false" customHeight="true" outlineLevel="0" collapsed="false">
      <c r="A18" s="8" t="s">
        <v>547</v>
      </c>
      <c r="B18" s="8" t="s">
        <v>1515</v>
      </c>
      <c r="C18" s="8" t="s">
        <v>1516</v>
      </c>
      <c r="D18" s="11" t="s">
        <v>1517</v>
      </c>
      <c r="E18" s="9" t="n">
        <f aca="false">IF(D18="",0,LEN(D18)-LEN(SUBSTITUTE(D18,",",""))+1)</f>
        <v>2</v>
      </c>
      <c r="F18" s="9" t="str">
        <f aca="false">IF(E18=0,"Gap",IF(E18=1,"Thin","Covered"))</f>
        <v>Covered</v>
      </c>
    </row>
    <row r="19" customFormat="false" ht="15" hidden="false" customHeight="true" outlineLevel="0" collapsed="false">
      <c r="A19" s="8" t="s">
        <v>547</v>
      </c>
      <c r="B19" s="8" t="s">
        <v>1518</v>
      </c>
      <c r="C19" s="8" t="s">
        <v>1519</v>
      </c>
      <c r="D19" s="11" t="s">
        <v>1166</v>
      </c>
      <c r="E19" s="9" t="n">
        <f aca="false">IF(D19="",0,LEN(D19)-LEN(SUBSTITUTE(D19,",",""))+1)</f>
        <v>1</v>
      </c>
      <c r="F19" s="9" t="str">
        <f aca="false">IF(E19=0,"Gap",IF(E19=1,"Thin","Covered"))</f>
        <v>Thin</v>
      </c>
    </row>
    <row r="20" customFormat="false" ht="15" hidden="false" customHeight="true" outlineLevel="0" collapsed="false">
      <c r="A20" s="8" t="s">
        <v>346</v>
      </c>
      <c r="B20" s="8" t="s">
        <v>1520</v>
      </c>
      <c r="C20" s="8" t="s">
        <v>1521</v>
      </c>
      <c r="D20" s="11" t="s">
        <v>955</v>
      </c>
      <c r="E20" s="9" t="n">
        <f aca="false">IF(D20="",0,LEN(D20)-LEN(SUBSTITUTE(D20,",",""))+1)</f>
        <v>1</v>
      </c>
      <c r="F20" s="9" t="str">
        <f aca="false">IF(E20=0,"Gap",IF(E20=1,"Thin","Covered"))</f>
        <v>Thin</v>
      </c>
    </row>
    <row r="21" customFormat="false" ht="15" hidden="false" customHeight="true" outlineLevel="0" collapsed="false">
      <c r="A21" s="8" t="s">
        <v>346</v>
      </c>
      <c r="B21" s="8" t="s">
        <v>1522</v>
      </c>
      <c r="C21" s="8" t="s">
        <v>1523</v>
      </c>
      <c r="D21" s="11" t="s">
        <v>1524</v>
      </c>
      <c r="E21" s="9" t="n">
        <f aca="false">IF(D21="",0,LEN(D21)-LEN(SUBSTITUTE(D21,",",""))+1)</f>
        <v>2</v>
      </c>
      <c r="F21" s="9" t="str">
        <f aca="false">IF(E21=0,"Gap",IF(E21=1,"Thin","Covered"))</f>
        <v>Covered</v>
      </c>
    </row>
    <row r="22" customFormat="false" ht="15" hidden="false" customHeight="true" outlineLevel="0" collapsed="false">
      <c r="A22" s="8" t="s">
        <v>346</v>
      </c>
      <c r="B22" s="8" t="s">
        <v>1525</v>
      </c>
      <c r="C22" s="8" t="s">
        <v>1526</v>
      </c>
      <c r="D22" s="11" t="s">
        <v>578</v>
      </c>
      <c r="E22" s="9" t="n">
        <f aca="false">IF(D22="",0,LEN(D22)-LEN(SUBSTITUTE(D22,",",""))+1)</f>
        <v>1</v>
      </c>
      <c r="F22" s="9" t="str">
        <f aca="false">IF(E22=0,"Gap",IF(E22=1,"Thin","Covered"))</f>
        <v>Thin</v>
      </c>
    </row>
    <row r="23" customFormat="false" ht="15" hidden="false" customHeight="true" outlineLevel="0" collapsed="false">
      <c r="A23" s="8" t="s">
        <v>346</v>
      </c>
      <c r="B23" s="8" t="s">
        <v>1527</v>
      </c>
      <c r="C23" s="8" t="s">
        <v>1528</v>
      </c>
      <c r="D23" s="11" t="s">
        <v>588</v>
      </c>
      <c r="E23" s="9" t="n">
        <f aca="false">IF(D23="",0,LEN(D23)-LEN(SUBSTITUTE(D23,",",""))+1)</f>
        <v>1</v>
      </c>
      <c r="F23" s="9" t="str">
        <f aca="false">IF(E23=0,"Gap",IF(E23=1,"Thin","Covered"))</f>
        <v>Thin</v>
      </c>
    </row>
    <row r="24" customFormat="false" ht="15" hidden="false" customHeight="true" outlineLevel="0" collapsed="false">
      <c r="A24" s="8" t="s">
        <v>346</v>
      </c>
      <c r="B24" s="8" t="s">
        <v>1529</v>
      </c>
      <c r="C24" s="8" t="s">
        <v>1530</v>
      </c>
      <c r="D24" s="11" t="s">
        <v>1531</v>
      </c>
      <c r="E24" s="9" t="n">
        <f aca="false">IF(D24="",0,LEN(D24)-LEN(SUBSTITUTE(D24,",",""))+1)</f>
        <v>3</v>
      </c>
      <c r="F24" s="9" t="str">
        <f aca="false">IF(E24=0,"Gap",IF(E24=1,"Thin","Covered"))</f>
        <v>Covered</v>
      </c>
    </row>
    <row r="25" customFormat="false" ht="15" hidden="false" customHeight="true" outlineLevel="0" collapsed="false">
      <c r="A25" s="8" t="s">
        <v>346</v>
      </c>
      <c r="B25" s="8" t="s">
        <v>1532</v>
      </c>
      <c r="C25" s="8" t="s">
        <v>1533</v>
      </c>
      <c r="D25" s="11" t="s">
        <v>977</v>
      </c>
      <c r="E25" s="9" t="n">
        <f aca="false">IF(D25="",0,LEN(D25)-LEN(SUBSTITUTE(D25,",",""))+1)</f>
        <v>1</v>
      </c>
      <c r="F25" s="9" t="str">
        <f aca="false">IF(E25=0,"Gap",IF(E25=1,"Thin","Covered"))</f>
        <v>Thin</v>
      </c>
    </row>
    <row r="26" customFormat="false" ht="15" hidden="false" customHeight="true" outlineLevel="0" collapsed="false">
      <c r="A26" s="8" t="s">
        <v>176</v>
      </c>
      <c r="B26" s="8" t="s">
        <v>1534</v>
      </c>
      <c r="C26" s="8" t="s">
        <v>1535</v>
      </c>
      <c r="D26" s="11" t="s">
        <v>1536</v>
      </c>
      <c r="E26" s="9" t="n">
        <f aca="false">IF(D26="",0,LEN(D26)-LEN(SUBSTITUTE(D26,",",""))+1)</f>
        <v>3</v>
      </c>
      <c r="F26" s="9" t="str">
        <f aca="false">IF(E26=0,"Gap",IF(E26=1,"Thin","Covered"))</f>
        <v>Covered</v>
      </c>
    </row>
    <row r="27" customFormat="false" ht="15" hidden="false" customHeight="true" outlineLevel="0" collapsed="false">
      <c r="A27" s="8" t="s">
        <v>176</v>
      </c>
      <c r="B27" s="8" t="s">
        <v>1537</v>
      </c>
      <c r="C27" s="8" t="s">
        <v>1005</v>
      </c>
      <c r="D27" s="11" t="s">
        <v>1000</v>
      </c>
      <c r="E27" s="9" t="n">
        <f aca="false">IF(D27="",0,LEN(D27)-LEN(SUBSTITUTE(D27,",",""))+1)</f>
        <v>1</v>
      </c>
      <c r="F27" s="9" t="str">
        <f aca="false">IF(E27=0,"Gap",IF(E27=1,"Thin","Covered"))</f>
        <v>Thin</v>
      </c>
    </row>
    <row r="28" customFormat="false" ht="15" hidden="false" customHeight="true" outlineLevel="0" collapsed="false">
      <c r="A28" s="8" t="s">
        <v>176</v>
      </c>
      <c r="B28" s="8" t="s">
        <v>1538</v>
      </c>
      <c r="C28" s="8" t="s">
        <v>1539</v>
      </c>
      <c r="D28" s="11" t="s">
        <v>1540</v>
      </c>
      <c r="E28" s="9" t="n">
        <f aca="false">IF(D28="",0,LEN(D28)-LEN(SUBSTITUTE(D28,",",""))+1)</f>
        <v>4</v>
      </c>
      <c r="F28" s="9" t="str">
        <f aca="false">IF(E28=0,"Gap",IF(E28=1,"Thin","Covered"))</f>
        <v>Covered</v>
      </c>
    </row>
    <row r="29" customFormat="false" ht="15" hidden="false" customHeight="true" outlineLevel="0" collapsed="false">
      <c r="A29" s="8" t="s">
        <v>176</v>
      </c>
      <c r="B29" s="8" t="s">
        <v>1541</v>
      </c>
      <c r="C29" s="8" t="s">
        <v>1542</v>
      </c>
      <c r="D29" s="11" t="s">
        <v>1543</v>
      </c>
      <c r="E29" s="9" t="n">
        <f aca="false">IF(D29="",0,LEN(D29)-LEN(SUBSTITUTE(D29,",",""))+1)</f>
        <v>2</v>
      </c>
      <c r="F29" s="9" t="str">
        <f aca="false">IF(E29=0,"Gap",IF(E29=1,"Thin","Covered"))</f>
        <v>Covered</v>
      </c>
    </row>
    <row r="30" customFormat="false" ht="15" hidden="false" customHeight="true" outlineLevel="0" collapsed="false">
      <c r="A30" s="8" t="s">
        <v>176</v>
      </c>
      <c r="B30" s="8" t="s">
        <v>1544</v>
      </c>
      <c r="C30" s="8" t="s">
        <v>1545</v>
      </c>
      <c r="D30" s="11" t="s">
        <v>1546</v>
      </c>
      <c r="E30" s="9" t="n">
        <f aca="false">IF(D30="",0,LEN(D30)-LEN(SUBSTITUTE(D30,",",""))+1)</f>
        <v>4</v>
      </c>
      <c r="F30" s="9" t="str">
        <f aca="false">IF(E30=0,"Gap",IF(E30=1,"Thin","Covered"))</f>
        <v>Covered</v>
      </c>
    </row>
    <row r="31" customFormat="false" ht="15" hidden="false" customHeight="true" outlineLevel="0" collapsed="false">
      <c r="A31" s="8" t="s">
        <v>176</v>
      </c>
      <c r="B31" s="8" t="s">
        <v>1547</v>
      </c>
      <c r="C31" s="8" t="s">
        <v>1548</v>
      </c>
      <c r="D31" s="11" t="s">
        <v>1549</v>
      </c>
      <c r="E31" s="9" t="n">
        <f aca="false">IF(D31="",0,LEN(D31)-LEN(SUBSTITUTE(D31,",",""))+1)</f>
        <v>3</v>
      </c>
      <c r="F31" s="9" t="str">
        <f aca="false">IF(E31=0,"Gap",IF(E31=1,"Thin","Covered"))</f>
        <v>Covered</v>
      </c>
    </row>
    <row r="32" customFormat="false" ht="15" hidden="false" customHeight="true" outlineLevel="0" collapsed="false">
      <c r="A32" s="8" t="s">
        <v>149</v>
      </c>
      <c r="B32" s="8" t="s">
        <v>1550</v>
      </c>
      <c r="C32" s="8" t="s">
        <v>1551</v>
      </c>
      <c r="D32" s="11" t="s">
        <v>512</v>
      </c>
      <c r="E32" s="9" t="n">
        <f aca="false">IF(D32="",0,LEN(D32)-LEN(SUBSTITUTE(D32,",",""))+1)</f>
        <v>1</v>
      </c>
      <c r="F32" s="9" t="str">
        <f aca="false">IF(E32=0,"Gap",IF(E32=1,"Thin","Covered"))</f>
        <v>Thin</v>
      </c>
    </row>
    <row r="33" customFormat="false" ht="15" hidden="false" customHeight="true" outlineLevel="0" collapsed="false">
      <c r="A33" s="8" t="s">
        <v>149</v>
      </c>
      <c r="B33" s="8" t="s">
        <v>1552</v>
      </c>
      <c r="C33" s="8" t="s">
        <v>1553</v>
      </c>
      <c r="D33" s="11" t="s">
        <v>1554</v>
      </c>
      <c r="E33" s="9" t="n">
        <f aca="false">IF(D33="",0,LEN(D33)-LEN(SUBSTITUTE(D33,",",""))+1)</f>
        <v>2</v>
      </c>
      <c r="F33" s="9" t="str">
        <f aca="false">IF(E33=0,"Gap",IF(E33=1,"Thin","Covered"))</f>
        <v>Covered</v>
      </c>
    </row>
    <row r="34" customFormat="false" ht="15" hidden="false" customHeight="true" outlineLevel="0" collapsed="false">
      <c r="A34" s="8" t="s">
        <v>149</v>
      </c>
      <c r="B34" s="8" t="s">
        <v>1555</v>
      </c>
      <c r="C34" s="8" t="s">
        <v>1556</v>
      </c>
      <c r="D34" s="11" t="s">
        <v>1557</v>
      </c>
      <c r="E34" s="9" t="n">
        <f aca="false">IF(D34="",0,LEN(D34)-LEN(SUBSTITUTE(D34,",",""))+1)</f>
        <v>2</v>
      </c>
      <c r="F34" s="9" t="str">
        <f aca="false">IF(E34=0,"Gap",IF(E34=1,"Thin","Covered"))</f>
        <v>Covered</v>
      </c>
    </row>
    <row r="35" customFormat="false" ht="15" hidden="false" customHeight="true" outlineLevel="0" collapsed="false">
      <c r="A35" s="8" t="s">
        <v>149</v>
      </c>
      <c r="B35" s="8" t="s">
        <v>1558</v>
      </c>
      <c r="C35" s="8" t="s">
        <v>1559</v>
      </c>
      <c r="D35" s="11" t="s">
        <v>530</v>
      </c>
      <c r="E35" s="9" t="n">
        <f aca="false">IF(D35="",0,LEN(D35)-LEN(SUBSTITUTE(D35,",",""))+1)</f>
        <v>1</v>
      </c>
      <c r="F35" s="9" t="str">
        <f aca="false">IF(E35=0,"Gap",IF(E35=1,"Thin","Covered"))</f>
        <v>Thin</v>
      </c>
    </row>
    <row r="36" customFormat="false" ht="15" hidden="false" customHeight="true" outlineLevel="0" collapsed="false">
      <c r="A36" s="8" t="s">
        <v>266</v>
      </c>
      <c r="B36" s="8" t="s">
        <v>1560</v>
      </c>
      <c r="C36" s="8" t="s">
        <v>1561</v>
      </c>
      <c r="D36" s="11" t="s">
        <v>1562</v>
      </c>
      <c r="E36" s="9" t="n">
        <f aca="false">IF(D36="",0,LEN(D36)-LEN(SUBSTITUTE(D36,",",""))+1)</f>
        <v>3</v>
      </c>
      <c r="F36" s="9" t="str">
        <f aca="false">IF(E36=0,"Gap",IF(E36=1,"Thin","Covered"))</f>
        <v>Covered</v>
      </c>
    </row>
    <row r="37" customFormat="false" ht="15" hidden="false" customHeight="true" outlineLevel="0" collapsed="false">
      <c r="A37" s="8" t="s">
        <v>266</v>
      </c>
      <c r="B37" s="8" t="s">
        <v>1563</v>
      </c>
      <c r="C37" s="8" t="s">
        <v>1564</v>
      </c>
      <c r="D37" s="11" t="s">
        <v>1565</v>
      </c>
      <c r="E37" s="9" t="n">
        <f aca="false">IF(D37="",0,LEN(D37)-LEN(SUBSTITUTE(D37,",",""))+1)</f>
        <v>2</v>
      </c>
      <c r="F37" s="9" t="str">
        <f aca="false">IF(E37=0,"Gap",IF(E37=1,"Thin","Covered"))</f>
        <v>Covered</v>
      </c>
    </row>
    <row r="38" customFormat="false" ht="15" hidden="false" customHeight="true" outlineLevel="0" collapsed="false">
      <c r="A38" s="8" t="s">
        <v>266</v>
      </c>
      <c r="B38" s="8" t="s">
        <v>1566</v>
      </c>
      <c r="C38" s="8" t="s">
        <v>1567</v>
      </c>
      <c r="D38" s="11" t="s">
        <v>1568</v>
      </c>
      <c r="E38" s="9" t="n">
        <f aca="false">IF(D38="",0,LEN(D38)-LEN(SUBSTITUTE(D38,",",""))+1)</f>
        <v>3</v>
      </c>
      <c r="F38" s="9" t="str">
        <f aca="false">IF(E38=0,"Gap",IF(E38=1,"Thin","Covered"))</f>
        <v>Covered</v>
      </c>
    </row>
    <row r="39" customFormat="false" ht="15" hidden="false" customHeight="true" outlineLevel="0" collapsed="false">
      <c r="A39" s="8" t="s">
        <v>266</v>
      </c>
      <c r="B39" s="8" t="s">
        <v>1569</v>
      </c>
      <c r="C39" s="8" t="s">
        <v>1570</v>
      </c>
      <c r="D39" s="11" t="s">
        <v>506</v>
      </c>
      <c r="E39" s="9" t="n">
        <f aca="false">IF(D39="",0,LEN(D39)-LEN(SUBSTITUTE(D39,",",""))+1)</f>
        <v>1</v>
      </c>
      <c r="F39" s="9" t="str">
        <f aca="false">IF(E39=0,"Gap",IF(E39=1,"Thin","Covered"))</f>
        <v>Thin</v>
      </c>
    </row>
    <row r="40" customFormat="false" ht="15" hidden="false" customHeight="true" outlineLevel="0" collapsed="false">
      <c r="A40" s="8" t="s">
        <v>266</v>
      </c>
      <c r="B40" s="8" t="s">
        <v>1571</v>
      </c>
      <c r="C40" s="8" t="s">
        <v>1572</v>
      </c>
      <c r="D40" s="11" t="s">
        <v>1573</v>
      </c>
      <c r="E40" s="9" t="n">
        <f aca="false">IF(D40="",0,LEN(D40)-LEN(SUBSTITUTE(D40,",",""))+1)</f>
        <v>2</v>
      </c>
      <c r="F40" s="9" t="str">
        <f aca="false">IF(E40=0,"Gap",IF(E40=1,"Thin","Covered"))</f>
        <v>Covered</v>
      </c>
    </row>
    <row r="41" customFormat="false" ht="15" hidden="false" customHeight="true" outlineLevel="0" collapsed="false">
      <c r="A41" s="8" t="s">
        <v>266</v>
      </c>
      <c r="B41" s="8" t="s">
        <v>1574</v>
      </c>
      <c r="C41" s="8" t="s">
        <v>1575</v>
      </c>
      <c r="D41" s="11" t="s">
        <v>1069</v>
      </c>
      <c r="E41" s="9" t="n">
        <f aca="false">IF(D41="",0,LEN(D41)-LEN(SUBSTITUTE(D41,",",""))+1)</f>
        <v>1</v>
      </c>
      <c r="F41" s="9" t="str">
        <f aca="false">IF(E41=0,"Gap",IF(E41=1,"Thin","Covered"))</f>
        <v>Thin</v>
      </c>
    </row>
    <row r="42" customFormat="false" ht="23.25" hidden="false" customHeight="true" outlineLevel="0" collapsed="false">
      <c r="A42" s="8" t="s">
        <v>1576</v>
      </c>
      <c r="B42" s="8" t="s">
        <v>1577</v>
      </c>
      <c r="C42" s="8" t="s">
        <v>1578</v>
      </c>
      <c r="D42" s="11" t="s">
        <v>1579</v>
      </c>
      <c r="E42" s="9" t="n">
        <f aca="false">IF(D42="",0,LEN(D42)-LEN(SUBSTITUTE(D42,",",""))+1)</f>
        <v>4</v>
      </c>
      <c r="F42" s="9" t="str">
        <f aca="false">IF(E42=0,"Gap",IF(E42=1,"Thin","Covered"))</f>
        <v>Covered</v>
      </c>
    </row>
    <row r="43" customFormat="false" ht="23.25" hidden="false" customHeight="true" outlineLevel="0" collapsed="false">
      <c r="A43" s="8" t="s">
        <v>1576</v>
      </c>
      <c r="B43" s="8" t="s">
        <v>1580</v>
      </c>
      <c r="C43" s="8" t="s">
        <v>1581</v>
      </c>
      <c r="D43" s="11" t="s">
        <v>1582</v>
      </c>
      <c r="E43" s="9" t="n">
        <f aca="false">IF(D43="",0,LEN(D43)-LEN(SUBSTITUTE(D43,",",""))+1)</f>
        <v>3</v>
      </c>
      <c r="F43" s="9" t="str">
        <f aca="false">IF(E43=0,"Gap",IF(E43=1,"Thin","Covered"))</f>
        <v>Covered</v>
      </c>
    </row>
    <row r="44" customFormat="false" ht="23.25" hidden="false" customHeight="true" outlineLevel="0" collapsed="false">
      <c r="A44" s="8" t="s">
        <v>1576</v>
      </c>
      <c r="B44" s="8" t="s">
        <v>1583</v>
      </c>
      <c r="C44" s="8" t="s">
        <v>1584</v>
      </c>
      <c r="D44" s="11" t="s">
        <v>1585</v>
      </c>
      <c r="E44" s="9" t="n">
        <f aca="false">IF(D44="",0,LEN(D44)-LEN(SUBSTITUTE(D44,",",""))+1)</f>
        <v>4</v>
      </c>
      <c r="F44" s="9" t="str">
        <f aca="false">IF(E44=0,"Gap",IF(E44=1,"Thin","Covered"))</f>
        <v>Covered</v>
      </c>
    </row>
    <row r="45" customFormat="false" ht="23.25" hidden="false" customHeight="true" outlineLevel="0" collapsed="false">
      <c r="A45" s="8" t="s">
        <v>1576</v>
      </c>
      <c r="B45" s="8" t="s">
        <v>1586</v>
      </c>
      <c r="C45" s="8" t="s">
        <v>1587</v>
      </c>
      <c r="D45" s="11" t="s">
        <v>1588</v>
      </c>
      <c r="E45" s="9" t="n">
        <f aca="false">IF(D45="",0,LEN(D45)-LEN(SUBSTITUTE(D45,",",""))+1)</f>
        <v>3</v>
      </c>
      <c r="F45" s="9" t="str">
        <f aca="false">IF(E45=0,"Gap",IF(E45=1,"Thin","Covered"))</f>
        <v>Covered</v>
      </c>
    </row>
    <row r="46" customFormat="false" ht="23.25" hidden="false" customHeight="true" outlineLevel="0" collapsed="false">
      <c r="A46" s="8" t="s">
        <v>1576</v>
      </c>
      <c r="B46" s="8" t="s">
        <v>1589</v>
      </c>
      <c r="C46" s="8" t="s">
        <v>1590</v>
      </c>
      <c r="D46" s="11" t="s">
        <v>733</v>
      </c>
      <c r="E46" s="9" t="n">
        <f aca="false">IF(D46="",0,LEN(D46)-LEN(SUBSTITUTE(D46,",",""))+1)</f>
        <v>1</v>
      </c>
      <c r="F46" s="9" t="str">
        <f aca="false">IF(E46=0,"Gap",IF(E46=1,"Thin","Covered"))</f>
        <v>Thin</v>
      </c>
    </row>
    <row r="47" customFormat="false" ht="23.25" hidden="false" customHeight="true" outlineLevel="0" collapsed="false">
      <c r="A47" s="8" t="s">
        <v>1576</v>
      </c>
      <c r="B47" s="8" t="s">
        <v>1591</v>
      </c>
      <c r="C47" s="8" t="s">
        <v>1592</v>
      </c>
      <c r="D47" s="11" t="s">
        <v>703</v>
      </c>
      <c r="E47" s="9" t="n">
        <f aca="false">IF(D47="",0,LEN(D47)-LEN(SUBSTITUTE(D47,",",""))+1)</f>
        <v>1</v>
      </c>
      <c r="F47" s="9" t="str">
        <f aca="false">IF(E47=0,"Gap",IF(E47=1,"Thin","Covered"))</f>
        <v>Thin</v>
      </c>
    </row>
    <row r="48" customFormat="false" ht="23.25" hidden="false" customHeight="true" outlineLevel="0" collapsed="false">
      <c r="A48" s="8" t="s">
        <v>1576</v>
      </c>
      <c r="B48" s="8" t="s">
        <v>1593</v>
      </c>
      <c r="C48" s="8" t="s">
        <v>1594</v>
      </c>
      <c r="D48" s="11" t="s">
        <v>1595</v>
      </c>
      <c r="E48" s="9" t="n">
        <f aca="false">IF(D48="",0,LEN(D48)-LEN(SUBSTITUTE(D48,",",""))+1)</f>
        <v>3</v>
      </c>
      <c r="F48" s="9" t="str">
        <f aca="false">IF(E48=0,"Gap",IF(E48=1,"Thin","Covered"))</f>
        <v>Covered</v>
      </c>
    </row>
    <row r="49" customFormat="false" ht="15" hidden="false" customHeight="true" outlineLevel="0" collapsed="false">
      <c r="A49" s="8" t="s">
        <v>184</v>
      </c>
      <c r="B49" s="8" t="s">
        <v>1596</v>
      </c>
      <c r="C49" s="8" t="s">
        <v>1597</v>
      </c>
      <c r="D49" s="11" t="s">
        <v>194</v>
      </c>
      <c r="E49" s="9" t="n">
        <f aca="false">IF(D49="",0,LEN(D49)-LEN(SUBSTITUTE(D49,",",""))+1)</f>
        <v>1</v>
      </c>
      <c r="F49" s="9" t="str">
        <f aca="false">IF(E49=0,"Gap",IF(E49=1,"Thin","Covered"))</f>
        <v>Thin</v>
      </c>
    </row>
    <row r="50" customFormat="false" ht="15" hidden="false" customHeight="true" outlineLevel="0" collapsed="false">
      <c r="A50" s="8" t="s">
        <v>184</v>
      </c>
      <c r="B50" s="8" t="s">
        <v>1598</v>
      </c>
      <c r="C50" s="8" t="s">
        <v>1599</v>
      </c>
      <c r="D50" s="11" t="s">
        <v>1600</v>
      </c>
      <c r="E50" s="9" t="n">
        <f aca="false">IF(D50="",0,LEN(D50)-LEN(SUBSTITUTE(D50,",",""))+1)</f>
        <v>5</v>
      </c>
      <c r="F50" s="9" t="str">
        <f aca="false">IF(E50=0,"Gap",IF(E50=1,"Thin","Covered"))</f>
        <v>Covered</v>
      </c>
    </row>
    <row r="51" customFormat="false" ht="15" hidden="false" customHeight="true" outlineLevel="0" collapsed="false">
      <c r="A51" s="8" t="s">
        <v>184</v>
      </c>
      <c r="B51" s="8" t="s">
        <v>1601</v>
      </c>
      <c r="C51" s="8" t="s">
        <v>1602</v>
      </c>
      <c r="D51" s="11" t="s">
        <v>1603</v>
      </c>
      <c r="E51" s="9" t="n">
        <f aca="false">IF(D51="",0,LEN(D51)-LEN(SUBSTITUTE(D51,",",""))+1)</f>
        <v>3</v>
      </c>
      <c r="F51" s="9" t="str">
        <f aca="false">IF(E51=0,"Gap",IF(E51=1,"Thin","Covered"))</f>
        <v>Covered</v>
      </c>
    </row>
    <row r="52" customFormat="false" ht="15" hidden="false" customHeight="true" outlineLevel="0" collapsed="false">
      <c r="A52" s="8" t="s">
        <v>184</v>
      </c>
      <c r="B52" s="8" t="s">
        <v>1604</v>
      </c>
      <c r="C52" s="8" t="s">
        <v>1605</v>
      </c>
      <c r="D52" s="11" t="s">
        <v>198</v>
      </c>
      <c r="E52" s="9" t="n">
        <f aca="false">IF(D52="",0,LEN(D52)-LEN(SUBSTITUTE(D52,",",""))+1)</f>
        <v>1</v>
      </c>
      <c r="F52" s="9" t="str">
        <f aca="false">IF(E52=0,"Gap",IF(E52=1,"Thin","Covered"))</f>
        <v>Thin</v>
      </c>
    </row>
    <row r="53" customFormat="false" ht="15" hidden="false" customHeight="true" outlineLevel="0" collapsed="false">
      <c r="A53" s="8" t="s">
        <v>184</v>
      </c>
      <c r="B53" s="8" t="s">
        <v>1606</v>
      </c>
      <c r="C53" s="8" t="s">
        <v>1607</v>
      </c>
      <c r="D53" s="11" t="s">
        <v>1608</v>
      </c>
      <c r="E53" s="9" t="n">
        <f aca="false">IF(D53="",0,LEN(D53)-LEN(SUBSTITUTE(D53,",",""))+1)</f>
        <v>2</v>
      </c>
      <c r="F53" s="9" t="str">
        <f aca="false">IF(E53=0,"Gap",IF(E53=1,"Thin","Covered"))</f>
        <v>Covered</v>
      </c>
    </row>
    <row r="54" customFormat="false" ht="15" hidden="false" customHeight="true" outlineLevel="0" collapsed="false">
      <c r="A54" s="8" t="s">
        <v>65</v>
      </c>
      <c r="B54" s="8" t="s">
        <v>1609</v>
      </c>
      <c r="C54" s="8" t="s">
        <v>1610</v>
      </c>
      <c r="D54" s="11" t="s">
        <v>1611</v>
      </c>
      <c r="E54" s="9" t="n">
        <f aca="false">IF(D54="",0,LEN(D54)-LEN(SUBSTITUTE(D54,",",""))+1)</f>
        <v>3</v>
      </c>
      <c r="F54" s="9" t="str">
        <f aca="false">IF(E54=0,"Gap",IF(E54=1,"Thin","Covered"))</f>
        <v>Covered</v>
      </c>
    </row>
    <row r="55" customFormat="false" ht="15" hidden="false" customHeight="true" outlineLevel="0" collapsed="false">
      <c r="A55" s="8" t="s">
        <v>65</v>
      </c>
      <c r="B55" s="8" t="s">
        <v>1612</v>
      </c>
      <c r="C55" s="8" t="s">
        <v>1613</v>
      </c>
      <c r="D55" s="11" t="s">
        <v>1614</v>
      </c>
      <c r="E55" s="9" t="n">
        <f aca="false">IF(D55="",0,LEN(D55)-LEN(SUBSTITUTE(D55,",",""))+1)</f>
        <v>4</v>
      </c>
      <c r="F55" s="9" t="str">
        <f aca="false">IF(E55=0,"Gap",IF(E55=1,"Thin","Covered"))</f>
        <v>Covered</v>
      </c>
    </row>
    <row r="56" customFormat="false" ht="15" hidden="false" customHeight="true" outlineLevel="0" collapsed="false">
      <c r="A56" s="8" t="s">
        <v>65</v>
      </c>
      <c r="B56" s="8" t="s">
        <v>1615</v>
      </c>
      <c r="C56" s="8" t="s">
        <v>1616</v>
      </c>
      <c r="D56" s="11" t="s">
        <v>1617</v>
      </c>
      <c r="E56" s="9" t="n">
        <f aca="false">IF(D56="",0,LEN(D56)-LEN(SUBSTITUTE(D56,",",""))+1)</f>
        <v>5</v>
      </c>
      <c r="F56" s="9" t="str">
        <f aca="false">IF(E56=0,"Gap",IF(E56=1,"Thin","Covered"))</f>
        <v>Covered</v>
      </c>
    </row>
    <row r="57" customFormat="false" ht="15" hidden="false" customHeight="true" outlineLevel="0" collapsed="false">
      <c r="A57" s="8" t="s">
        <v>65</v>
      </c>
      <c r="B57" s="8" t="s">
        <v>1618</v>
      </c>
      <c r="C57" s="8" t="s">
        <v>1619</v>
      </c>
      <c r="D57" s="11" t="s">
        <v>1620</v>
      </c>
      <c r="E57" s="9" t="n">
        <f aca="false">IF(D57="",0,LEN(D57)-LEN(SUBSTITUTE(D57,",",""))+1)</f>
        <v>3</v>
      </c>
      <c r="F57" s="9" t="str">
        <f aca="false">IF(E57=0,"Gap",IF(E57=1,"Thin","Covered"))</f>
        <v>Covered</v>
      </c>
    </row>
    <row r="58" customFormat="false" ht="15" hidden="false" customHeight="true" outlineLevel="0" collapsed="false">
      <c r="A58" s="8" t="s">
        <v>65</v>
      </c>
      <c r="B58" s="8" t="s">
        <v>1621</v>
      </c>
      <c r="C58" s="8" t="s">
        <v>1622</v>
      </c>
      <c r="D58" s="11" t="s">
        <v>1623</v>
      </c>
      <c r="E58" s="9" t="n">
        <f aca="false">IF(D58="",0,LEN(D58)-LEN(SUBSTITUTE(D58,",",""))+1)</f>
        <v>4</v>
      </c>
      <c r="F58" s="9" t="str">
        <f aca="false">IF(E58=0,"Gap",IF(E58=1,"Thin","Covered"))</f>
        <v>Covered</v>
      </c>
    </row>
    <row r="59" customFormat="false" ht="15" hidden="false" customHeight="true" outlineLevel="0" collapsed="false">
      <c r="A59" s="8" t="s">
        <v>65</v>
      </c>
      <c r="B59" s="8" t="s">
        <v>1624</v>
      </c>
      <c r="C59" s="8" t="s">
        <v>1625</v>
      </c>
      <c r="D59" s="11" t="s">
        <v>1626</v>
      </c>
      <c r="E59" s="9" t="n">
        <f aca="false">IF(D59="",0,LEN(D59)-LEN(SUBSTITUTE(D59,",",""))+1)</f>
        <v>4</v>
      </c>
      <c r="F59" s="9" t="str">
        <f aca="false">IF(E59=0,"Gap",IF(E59=1,"Thin","Covered"))</f>
        <v>Covered</v>
      </c>
    </row>
    <row r="60" customFormat="false" ht="15" hidden="false" customHeight="true" outlineLevel="0" collapsed="false">
      <c r="A60" s="8" t="s">
        <v>65</v>
      </c>
      <c r="B60" s="8" t="s">
        <v>1627</v>
      </c>
      <c r="C60" s="8" t="s">
        <v>1628</v>
      </c>
      <c r="D60" s="11" t="s">
        <v>1629</v>
      </c>
      <c r="E60" s="9" t="n">
        <f aca="false">IF(D60="",0,LEN(D60)-LEN(SUBSTITUTE(D60,",",""))+1)</f>
        <v>2</v>
      </c>
      <c r="F60" s="9" t="str">
        <f aca="false">IF(E60=0,"Gap",IF(E60=1,"Thin","Covered"))</f>
        <v>Covered</v>
      </c>
    </row>
    <row r="61" customFormat="false" ht="15" hidden="false" customHeight="true" outlineLevel="0" collapsed="false">
      <c r="A61" s="8" t="s">
        <v>65</v>
      </c>
      <c r="B61" s="8" t="s">
        <v>1630</v>
      </c>
      <c r="C61" s="8" t="s">
        <v>1631</v>
      </c>
      <c r="D61" s="11"/>
      <c r="E61" s="9" t="n">
        <f aca="false">IF(D61="",0,LEN(D61)-LEN(SUBSTITUTE(D61,",",""))+1)</f>
        <v>0</v>
      </c>
      <c r="F61" s="9" t="str">
        <f aca="false">IF(E61=0,"Gap",IF(E61=1,"Thin","Covered"))</f>
        <v>Gap</v>
      </c>
    </row>
    <row r="62" customFormat="false" ht="15" hidden="false" customHeight="true" outlineLevel="0" collapsed="false">
      <c r="A62" s="8" t="s">
        <v>65</v>
      </c>
      <c r="B62" s="8" t="s">
        <v>1632</v>
      </c>
      <c r="C62" s="8" t="s">
        <v>1633</v>
      </c>
      <c r="D62" s="11" t="s">
        <v>393</v>
      </c>
      <c r="E62" s="9" t="n">
        <f aca="false">IF(D62="",0,LEN(D62)-LEN(SUBSTITUTE(D62,",",""))+1)</f>
        <v>1</v>
      </c>
      <c r="F62" s="9" t="str">
        <f aca="false">IF(E62=0,"Gap",IF(E62=1,"Thin","Covered"))</f>
        <v>Thin</v>
      </c>
    </row>
    <row r="63" customFormat="false" ht="23.25" hidden="false" customHeight="true" outlineLevel="0" collapsed="false">
      <c r="A63" s="8" t="s">
        <v>1634</v>
      </c>
      <c r="B63" s="8" t="s">
        <v>1635</v>
      </c>
      <c r="C63" s="8" t="s">
        <v>1636</v>
      </c>
      <c r="D63" s="11" t="s">
        <v>1637</v>
      </c>
      <c r="E63" s="9" t="n">
        <f aca="false">IF(D63="",0,LEN(D63)-LEN(SUBSTITUTE(D63,",",""))+1)</f>
        <v>4</v>
      </c>
      <c r="F63" s="9" t="str">
        <f aca="false">IF(E63=0,"Gap",IF(E63=1,"Thin","Covered"))</f>
        <v>Covered</v>
      </c>
    </row>
    <row r="64" customFormat="false" ht="15" hidden="false" customHeight="true" outlineLevel="0" collapsed="false">
      <c r="A64" s="8" t="s">
        <v>1638</v>
      </c>
      <c r="B64" s="8" t="s">
        <v>1639</v>
      </c>
      <c r="C64" s="8" t="s">
        <v>1640</v>
      </c>
      <c r="D64" s="11" t="s">
        <v>1641</v>
      </c>
      <c r="E64" s="9" t="n">
        <f aca="false">IF(D64="",0,LEN(D64)-LEN(SUBSTITUTE(D64,",",""))+1)</f>
        <v>6</v>
      </c>
      <c r="F64" s="9" t="str">
        <f aca="false">IF(E64=0,"Gap",IF(E64=1,"Thin","Covered"))</f>
        <v>Covered</v>
      </c>
    </row>
    <row r="65" customFormat="false" ht="23.25" hidden="false" customHeight="true" outlineLevel="0" collapsed="false">
      <c r="A65" s="8" t="s">
        <v>1642</v>
      </c>
      <c r="B65" s="8" t="s">
        <v>1643</v>
      </c>
      <c r="C65" s="8" t="s">
        <v>1644</v>
      </c>
      <c r="D65" s="11" t="s">
        <v>1645</v>
      </c>
      <c r="E65" s="9" t="n">
        <f aca="false">IF(D65="",0,LEN(D65)-LEN(SUBSTITUTE(D65,",",""))+1)</f>
        <v>8</v>
      </c>
      <c r="F65" s="9" t="str">
        <f aca="false">IF(E65=0,"Gap",IF(E65=1,"Thin","Covered"))</f>
        <v>Covered</v>
      </c>
    </row>
    <row r="66" customFormat="false" ht="15" hidden="false" customHeight="true" outlineLevel="0" collapsed="false">
      <c r="A66" s="8" t="s">
        <v>1642</v>
      </c>
      <c r="B66" s="8" t="s">
        <v>1646</v>
      </c>
      <c r="C66" s="8" t="s">
        <v>1647</v>
      </c>
      <c r="D66" s="11" t="s">
        <v>1648</v>
      </c>
      <c r="E66" s="9" t="n">
        <f aca="false">IF(D66="",0,LEN(D66)-LEN(SUBSTITUTE(D66,",",""))+1)</f>
        <v>2</v>
      </c>
      <c r="F66" s="9" t="str">
        <f aca="false">IF(E66=0,"Gap",IF(E66=1,"Thin","Covered"))</f>
        <v>Covered</v>
      </c>
    </row>
    <row r="67" customFormat="false" ht="15" hidden="false" customHeight="false" outlineLevel="0" collapsed="false">
      <c r="A67" s="8" t="s">
        <v>149</v>
      </c>
      <c r="B67" s="8" t="s">
        <v>1649</v>
      </c>
      <c r="C67" s="8" t="s">
        <v>1650</v>
      </c>
      <c r="D67" s="11" t="s">
        <v>1651</v>
      </c>
      <c r="E67" s="9" t="n">
        <f aca="false">IF(D67="",0,LEN(D67)-LEN(SUBSTITUTE(D67,",",""))+1)</f>
        <v>5</v>
      </c>
      <c r="F67" s="9" t="str">
        <f aca="false">IF(E67=0,"Gap",IF(E67=1,"Thin","Covered"))</f>
        <v>Covered</v>
      </c>
    </row>
    <row r="68" customFormat="false" ht="15" hidden="false" customHeight="false" outlineLevel="0" collapsed="false">
      <c r="A68" s="8" t="s">
        <v>149</v>
      </c>
      <c r="B68" s="8" t="s">
        <v>1652</v>
      </c>
      <c r="C68" s="8" t="s">
        <v>1653</v>
      </c>
      <c r="D68" s="11" t="s">
        <v>1654</v>
      </c>
      <c r="E68" s="9" t="n">
        <f aca="false">IF(D68="",0,LEN(D68)-LEN(SUBSTITUTE(D68,",",""))+1)</f>
        <v>3</v>
      </c>
      <c r="F68" s="9" t="str">
        <f aca="false">IF(E68=0,"Gap",IF(E68=1,"Thin","Covered"))</f>
        <v>Covered</v>
      </c>
    </row>
    <row r="69" customFormat="false" ht="15" hidden="false" customHeight="false" outlineLevel="0" collapsed="false">
      <c r="A69" s="8" t="s">
        <v>547</v>
      </c>
      <c r="B69" s="8" t="s">
        <v>1655</v>
      </c>
      <c r="C69" s="8" t="s">
        <v>1656</v>
      </c>
      <c r="D69" s="11" t="s">
        <v>1657</v>
      </c>
      <c r="E69" s="9" t="n">
        <f aca="false">IF(D69="",0,LEN(D69)-LEN(SUBSTITUTE(D69,",",""))+1)</f>
        <v>3</v>
      </c>
      <c r="F69" s="9" t="str">
        <f aca="false">IF(E69=0,"Gap",IF(E69=1,"Thin","Covered"))</f>
        <v>Covered</v>
      </c>
    </row>
    <row r="70" customFormat="false" ht="15" hidden="false" customHeight="false" outlineLevel="0" collapsed="false">
      <c r="A70" s="8" t="s">
        <v>184</v>
      </c>
      <c r="B70" s="8" t="s">
        <v>1658</v>
      </c>
      <c r="C70" s="8" t="s">
        <v>1659</v>
      </c>
      <c r="D70" s="11" t="s">
        <v>1660</v>
      </c>
      <c r="E70" s="9" t="n">
        <f aca="false">IF(D70="",0,LEN(D70)-LEN(SUBSTITUTE(D70,",",""))+1)</f>
        <v>5</v>
      </c>
      <c r="F70" s="9" t="str">
        <f aca="false">IF(E70=0,"Gap",IF(E70=1,"Thin","Covered"))</f>
        <v>Covered</v>
      </c>
    </row>
    <row r="71" customFormat="false" ht="15" hidden="false" customHeight="false" outlineLevel="0" collapsed="false">
      <c r="A71" s="8" t="s">
        <v>176</v>
      </c>
      <c r="B71" s="8" t="s">
        <v>1661</v>
      </c>
      <c r="C71" s="8" t="s">
        <v>1662</v>
      </c>
      <c r="D71" s="11" t="s">
        <v>1663</v>
      </c>
      <c r="E71" s="9" t="n">
        <f aca="false">IF(D71="",0,LEN(D71)-LEN(SUBSTITUTE(D71,",",""))+1)</f>
        <v>3</v>
      </c>
      <c r="F71" s="9" t="str">
        <f aca="false">IF(E71=0,"Gap",IF(E71=1,"Thin","Covered"))</f>
        <v>Covered</v>
      </c>
    </row>
    <row r="72" customFormat="false" ht="15" hidden="false" customHeight="false" outlineLevel="0" collapsed="false">
      <c r="A72" s="8" t="s">
        <v>346</v>
      </c>
      <c r="B72" s="8" t="s">
        <v>1664</v>
      </c>
      <c r="C72" s="8" t="s">
        <v>1665</v>
      </c>
      <c r="D72" s="11" t="s">
        <v>1666</v>
      </c>
      <c r="E72" s="9" t="n">
        <f aca="false">IF(D72="",0,LEN(D72)-LEN(SUBSTITUTE(D72,",",""))+1)</f>
        <v>3</v>
      </c>
      <c r="F72" s="9" t="str">
        <f aca="false">IF(E72=0,"Gap",IF(E72=1,"Thin","Covered"))</f>
        <v>Covered</v>
      </c>
    </row>
    <row r="73" customFormat="false" ht="15" hidden="false" customHeight="false" outlineLevel="0" collapsed="false">
      <c r="A73" s="8" t="s">
        <v>266</v>
      </c>
      <c r="B73" s="8" t="s">
        <v>1667</v>
      </c>
      <c r="C73" s="8" t="s">
        <v>1668</v>
      </c>
      <c r="D73" s="11" t="s">
        <v>1669</v>
      </c>
      <c r="E73" s="9" t="n">
        <f aca="false">IF(D73="",0,LEN(D73)-LEN(SUBSTITUTE(D73,",",""))+1)</f>
        <v>3</v>
      </c>
      <c r="F73" s="9" t="str">
        <f aca="false">IF(E73=0,"Gap",IF(E73=1,"Thin","Covered"))</f>
        <v>Covered</v>
      </c>
    </row>
  </sheetData>
  <autoFilter ref="A7:F7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52"/>
    <col collapsed="false" customWidth="true" hidden="false" outlineLevel="0" max="3" min="3" style="1" width="58"/>
    <col collapsed="false" customWidth="true" hidden="false" outlineLevel="0" max="4" min="4" style="1" width="36"/>
  </cols>
  <sheetData>
    <row r="1" customFormat="false" ht="17.25" hidden="false" customHeight="true" outlineLevel="0" collapsed="false">
      <c r="A1" s="2" t="s">
        <v>1670</v>
      </c>
    </row>
    <row r="2" customFormat="false" ht="15" hidden="false" customHeight="true" outlineLevel="0" collapsed="false">
      <c r="A2" s="12" t="s">
        <v>1671</v>
      </c>
    </row>
    <row r="4" customFormat="false" ht="30" hidden="false" customHeight="true" outlineLevel="0" collapsed="false">
      <c r="A4" s="7" t="s">
        <v>1672</v>
      </c>
      <c r="B4" s="7" t="s">
        <v>1673</v>
      </c>
      <c r="C4" s="7" t="s">
        <v>1674</v>
      </c>
      <c r="D4" s="7" t="s">
        <v>1675</v>
      </c>
    </row>
    <row r="5" customFormat="false" ht="23.25" hidden="false" customHeight="true" outlineLevel="0" collapsed="false">
      <c r="A5" s="8" t="s">
        <v>218</v>
      </c>
      <c r="B5" s="8" t="s">
        <v>1676</v>
      </c>
      <c r="C5" s="8" t="s">
        <v>1677</v>
      </c>
      <c r="D5" s="8" t="s">
        <v>1678</v>
      </c>
    </row>
    <row r="6" customFormat="false" ht="23.25" hidden="false" customHeight="true" outlineLevel="0" collapsed="false">
      <c r="A6" s="8" t="s">
        <v>1679</v>
      </c>
      <c r="B6" s="8" t="s">
        <v>1680</v>
      </c>
      <c r="C6" s="8" t="s">
        <v>1681</v>
      </c>
      <c r="D6" s="8" t="s">
        <v>1682</v>
      </c>
    </row>
    <row r="7" customFormat="false" ht="23.25" hidden="false" customHeight="true" outlineLevel="0" collapsed="false">
      <c r="A7" s="8" t="s">
        <v>1683</v>
      </c>
      <c r="B7" s="8" t="s">
        <v>1684</v>
      </c>
      <c r="C7" s="8" t="s">
        <v>1685</v>
      </c>
      <c r="D7" s="8" t="s">
        <v>1686</v>
      </c>
    </row>
    <row r="8" customFormat="false" ht="15" hidden="false" customHeight="true" outlineLevel="0" collapsed="false">
      <c r="A8" s="8" t="s">
        <v>1687</v>
      </c>
      <c r="B8" s="8" t="s">
        <v>1688</v>
      </c>
      <c r="C8" s="8" t="s">
        <v>1689</v>
      </c>
      <c r="D8" s="8" t="s">
        <v>1690</v>
      </c>
    </row>
    <row r="9" customFormat="false" ht="15" hidden="false" customHeight="true" outlineLevel="0" collapsed="false">
      <c r="A9" s="8" t="s">
        <v>1691</v>
      </c>
      <c r="B9" s="8" t="s">
        <v>1692</v>
      </c>
      <c r="C9" s="8" t="s">
        <v>1693</v>
      </c>
      <c r="D9" s="8" t="s">
        <v>1694</v>
      </c>
    </row>
    <row r="10" customFormat="false" ht="23.25" hidden="false" customHeight="true" outlineLevel="0" collapsed="false">
      <c r="A10" s="8" t="s">
        <v>1695</v>
      </c>
      <c r="B10" s="8" t="s">
        <v>1696</v>
      </c>
      <c r="C10" s="8" t="s">
        <v>1697</v>
      </c>
      <c r="D10" s="8" t="s">
        <v>1698</v>
      </c>
    </row>
    <row r="11" customFormat="false" ht="15" hidden="false" customHeight="true" outlineLevel="0" collapsed="false">
      <c r="A11" s="8" t="s">
        <v>1699</v>
      </c>
      <c r="B11" s="8" t="s">
        <v>1700</v>
      </c>
      <c r="C11" s="8" t="s">
        <v>1701</v>
      </c>
      <c r="D11" s="8" t="s">
        <v>1702</v>
      </c>
    </row>
    <row r="12" customFormat="false" ht="15" hidden="false" customHeight="true" outlineLevel="0" collapsed="false">
      <c r="A12" s="8" t="s">
        <v>1703</v>
      </c>
      <c r="B12" s="8" t="s">
        <v>1704</v>
      </c>
      <c r="C12" s="8" t="s">
        <v>1705</v>
      </c>
      <c r="D12" s="8" t="s">
        <v>1706</v>
      </c>
    </row>
    <row r="13" customFormat="false" ht="15" hidden="false" customHeight="true" outlineLevel="0" collapsed="false">
      <c r="A13" s="8" t="s">
        <v>1707</v>
      </c>
      <c r="B13" s="8" t="s">
        <v>1708</v>
      </c>
      <c r="C13" s="8" t="s">
        <v>1709</v>
      </c>
      <c r="D13" s="8" t="s">
        <v>1694</v>
      </c>
    </row>
    <row r="15" customFormat="false" ht="17.25" hidden="false" customHeight="true" outlineLevel="0" collapsed="false">
      <c r="A15" s="2" t="s">
        <v>1710</v>
      </c>
    </row>
    <row r="16" customFormat="false" ht="15" hidden="false" customHeight="true" outlineLevel="0" collapsed="false">
      <c r="A16" s="7" t="s">
        <v>1711</v>
      </c>
      <c r="B16" s="7" t="s">
        <v>1712</v>
      </c>
      <c r="C16" s="7" t="s">
        <v>1713</v>
      </c>
    </row>
    <row r="17" customFormat="false" ht="15" hidden="false" customHeight="true" outlineLevel="0" collapsed="false">
      <c r="A17" s="8" t="s">
        <v>1714</v>
      </c>
      <c r="B17" s="8" t="s">
        <v>1715</v>
      </c>
      <c r="C17" s="9" t="n">
        <f aca="false">COUNTIF('Source Registry'!$Y$2:$Y$400,"*"&amp;A17&amp;"*")</f>
        <v>17</v>
      </c>
    </row>
    <row r="18" customFormat="false" ht="15" hidden="false" customHeight="true" outlineLevel="0" collapsed="false">
      <c r="A18" s="8" t="s">
        <v>219</v>
      </c>
      <c r="B18" s="8" t="s">
        <v>1716</v>
      </c>
      <c r="C18" s="9" t="n">
        <f aca="false">COUNTIF('Source Registry'!$Y$2:$Y$400,"*"&amp;A18&amp;"*")</f>
        <v>82</v>
      </c>
    </row>
    <row r="19" customFormat="false" ht="15" hidden="false" customHeight="true" outlineLevel="0" collapsed="false">
      <c r="A19" s="8" t="s">
        <v>1146</v>
      </c>
      <c r="B19" s="8" t="s">
        <v>1717</v>
      </c>
      <c r="C19" s="9" t="n">
        <f aca="false">COUNTIF('Source Registry'!$Y$2:$Y$400,"*"&amp;A19&amp;"*")</f>
        <v>45</v>
      </c>
    </row>
    <row r="20" customFormat="false" ht="15" hidden="false" customHeight="true" outlineLevel="0" collapsed="false">
      <c r="A20" s="8" t="s">
        <v>1718</v>
      </c>
      <c r="B20" s="8" t="s">
        <v>584</v>
      </c>
      <c r="C20" s="9" t="n">
        <f aca="false">COUNTIF('Source Registry'!$Y$2:$Y$400,"*"&amp;A20&amp;"*")</f>
        <v>9</v>
      </c>
    </row>
    <row r="21" customFormat="false" ht="15" hidden="false" customHeight="true" outlineLevel="0" collapsed="false">
      <c r="A21" s="8" t="s">
        <v>1719</v>
      </c>
      <c r="B21" s="8" t="s">
        <v>1720</v>
      </c>
      <c r="C21" s="9" t="n">
        <f aca="false">COUNTIF('Source Registry'!$Y$2:$Y$400,"*"&amp;A21&amp;"*")</f>
        <v>14</v>
      </c>
    </row>
    <row r="22" customFormat="false" ht="23.25" hidden="false" customHeight="true" outlineLevel="0" collapsed="false">
      <c r="A22" s="8" t="s">
        <v>390</v>
      </c>
      <c r="B22" s="8" t="s">
        <v>1721</v>
      </c>
      <c r="C22" s="9" t="n">
        <f aca="false">COUNTIF('Source Registry'!$Y$2:$Y$400,"*"&amp;A22&amp;"*")</f>
        <v>81</v>
      </c>
    </row>
    <row r="23" customFormat="false" ht="15" hidden="false" customHeight="true" outlineLevel="0" collapsed="false">
      <c r="A23" s="8" t="s">
        <v>1722</v>
      </c>
      <c r="B23" s="8" t="s">
        <v>1723</v>
      </c>
      <c r="C23" s="9" t="n">
        <f aca="false">COUNTIF('Source Registry'!$Y$2:$Y$400,"*"&amp;A23&amp;"*")</f>
        <v>6</v>
      </c>
    </row>
    <row r="24" customFormat="false" ht="15" hidden="false" customHeight="true" outlineLevel="0" collapsed="false">
      <c r="A24" s="8" t="s">
        <v>1724</v>
      </c>
      <c r="B24" s="8" t="s">
        <v>1725</v>
      </c>
      <c r="C24" s="9" t="n">
        <f aca="false">COUNTIF('Source Registry'!$Y$2:$Y$400,"*"&amp;A24&amp;"*")</f>
        <v>54</v>
      </c>
    </row>
    <row r="25" customFormat="false" ht="15" hidden="false" customHeight="true" outlineLevel="0" collapsed="false">
      <c r="A25" s="8" t="s">
        <v>1159</v>
      </c>
      <c r="B25" s="8" t="s">
        <v>1726</v>
      </c>
      <c r="C25" s="9" t="n">
        <f aca="false">COUNTIF('Source Registry'!$Y$2:$Y$400,"*"&amp;A25&amp;"*")</f>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60"/>
    <col collapsed="false" customWidth="true" hidden="false" outlineLevel="0" max="3" min="3" style="1" width="10"/>
    <col collapsed="false" customWidth="true" hidden="false" outlineLevel="0" max="5" min="4" style="1" width="14"/>
    <col collapsed="false" customWidth="true" hidden="false" outlineLevel="0" max="6" min="6" style="1" width="44"/>
    <col collapsed="false" customWidth="true" hidden="false" outlineLevel="0" max="7" min="7" style="1" width="34"/>
  </cols>
  <sheetData>
    <row r="1" customFormat="false" ht="17.25" hidden="false" customHeight="true" outlineLevel="0" collapsed="false">
      <c r="A1" s="2" t="s">
        <v>1727</v>
      </c>
    </row>
    <row r="2" customFormat="false" ht="15" hidden="false" customHeight="true" outlineLevel="0" collapsed="false">
      <c r="A2" s="12" t="s">
        <v>1728</v>
      </c>
    </row>
    <row r="4" customFormat="false" ht="30" hidden="false" customHeight="true" outlineLevel="0" collapsed="false">
      <c r="A4" s="7" t="s">
        <v>17</v>
      </c>
      <c r="B4" s="7" t="s">
        <v>1729</v>
      </c>
      <c r="C4" s="7" t="s">
        <v>1311</v>
      </c>
      <c r="D4" s="7" t="s">
        <v>1730</v>
      </c>
      <c r="E4" s="7" t="s">
        <v>1731</v>
      </c>
      <c r="F4" s="7" t="s">
        <v>1732</v>
      </c>
      <c r="G4" s="7" t="s">
        <v>58</v>
      </c>
    </row>
    <row r="5" customFormat="false" ht="23.25" hidden="false" customHeight="true" outlineLevel="0" collapsed="false">
      <c r="A5" s="8" t="s">
        <v>216</v>
      </c>
      <c r="B5" s="8" t="s">
        <v>1733</v>
      </c>
      <c r="C5" s="9" t="n">
        <f aca="false">COUNTIF('Source Registry'!$U$2:$U$400,$A5)</f>
        <v>10</v>
      </c>
      <c r="D5" s="9" t="n">
        <f aca="false">COUNTIFS('Source Registry'!$U$2:$U$400,$A5,'Source Registry'!$V$2:$V$400,"Detection feed")</f>
        <v>8</v>
      </c>
      <c r="E5" s="9" t="n">
        <f aca="false">COUNTIFS('Source Registry'!$U$2:$U$400,$A5,'Source Registry'!$V$2:$V$400,"Context")+COUNTIFS('Source Registry'!$U$2:$U$400,$A5,'Source Registry'!$V$2:$V$400,"Context (synthesized)")</f>
        <v>0</v>
      </c>
      <c r="F5" s="8" t="s">
        <v>218</v>
      </c>
      <c r="G5" s="8" t="s">
        <v>219</v>
      </c>
    </row>
    <row r="6" customFormat="false" ht="15" hidden="false" customHeight="true" outlineLevel="0" collapsed="false">
      <c r="A6" s="8" t="s">
        <v>245</v>
      </c>
      <c r="B6" s="8" t="s">
        <v>1734</v>
      </c>
      <c r="C6" s="9" t="n">
        <f aca="false">COUNTIF('Source Registry'!$U$2:$U$400,$A6)</f>
        <v>5</v>
      </c>
      <c r="D6" s="9" t="n">
        <f aca="false">COUNTIFS('Source Registry'!$U$2:$U$400,$A6,'Source Registry'!$V$2:$V$400,"Detection feed")</f>
        <v>2</v>
      </c>
      <c r="E6" s="9" t="n">
        <f aca="false">COUNTIFS('Source Registry'!$U$2:$U$400,$A6,'Source Registry'!$V$2:$V$400,"Context")+COUNTIFS('Source Registry'!$U$2:$U$400,$A6,'Source Registry'!$V$2:$V$400,"Context (synthesized)")</f>
        <v>0</v>
      </c>
      <c r="F6" s="8" t="s">
        <v>246</v>
      </c>
      <c r="G6" s="8" t="s">
        <v>247</v>
      </c>
    </row>
    <row r="7" customFormat="false" ht="23.25" hidden="false" customHeight="true" outlineLevel="0" collapsed="false">
      <c r="A7" s="8" t="s">
        <v>365</v>
      </c>
      <c r="B7" s="8" t="s">
        <v>1735</v>
      </c>
      <c r="C7" s="9" t="n">
        <f aca="false">COUNTIF('Source Registry'!$U$2:$U$400,$A7)</f>
        <v>44</v>
      </c>
      <c r="D7" s="9" t="n">
        <f aca="false">COUNTIFS('Source Registry'!$U$2:$U$400,$A7,'Source Registry'!$V$2:$V$400,"Detection feed")</f>
        <v>23</v>
      </c>
      <c r="E7" s="9" t="n">
        <f aca="false">COUNTIFS('Source Registry'!$U$2:$U$400,$A7,'Source Registry'!$V$2:$V$400,"Context")+COUNTIFS('Source Registry'!$U$2:$U$400,$A7,'Source Registry'!$V$2:$V$400,"Context (synthesized)")</f>
        <v>18</v>
      </c>
      <c r="F7" s="8" t="s">
        <v>366</v>
      </c>
      <c r="G7" s="8" t="s">
        <v>367</v>
      </c>
    </row>
    <row r="8" customFormat="false" ht="15" hidden="false" customHeight="true" outlineLevel="0" collapsed="false">
      <c r="A8" s="8" t="s">
        <v>279</v>
      </c>
      <c r="B8" s="8" t="s">
        <v>1736</v>
      </c>
      <c r="C8" s="9" t="n">
        <f aca="false">COUNTIF('Source Registry'!$U$2:$U$400,$A8)</f>
        <v>18</v>
      </c>
      <c r="D8" s="9" t="n">
        <f aca="false">COUNTIFS('Source Registry'!$U$2:$U$400,$A8,'Source Registry'!$V$2:$V$400,"Detection feed")</f>
        <v>11</v>
      </c>
      <c r="E8" s="9" t="n">
        <f aca="false">COUNTIFS('Source Registry'!$U$2:$U$400,$A8,'Source Registry'!$V$2:$V$400,"Context")+COUNTIFS('Source Registry'!$U$2:$U$400,$A8,'Source Registry'!$V$2:$V$400,"Context (synthesized)")</f>
        <v>1</v>
      </c>
      <c r="F8" s="8" t="s">
        <v>280</v>
      </c>
      <c r="G8" s="8" t="s">
        <v>219</v>
      </c>
    </row>
    <row r="9" customFormat="false" ht="23.25" hidden="false" customHeight="true" outlineLevel="0" collapsed="false">
      <c r="A9" s="8" t="s">
        <v>551</v>
      </c>
      <c r="B9" s="8" t="s">
        <v>1737</v>
      </c>
      <c r="C9" s="9" t="n">
        <f aca="false">COUNTIF('Source Registry'!$U$2:$U$400,$A9)</f>
        <v>28</v>
      </c>
      <c r="D9" s="9" t="n">
        <f aca="false">COUNTIFS('Source Registry'!$U$2:$U$400,$A9,'Source Registry'!$V$2:$V$400,"Detection feed")</f>
        <v>16</v>
      </c>
      <c r="E9" s="9" t="n">
        <f aca="false">COUNTIFS('Source Registry'!$U$2:$U$400,$A9,'Source Registry'!$V$2:$V$400,"Context")+COUNTIFS('Source Registry'!$U$2:$U$400,$A9,'Source Registry'!$V$2:$V$400,"Context (synthesized)")</f>
        <v>5</v>
      </c>
      <c r="F9" s="8" t="s">
        <v>552</v>
      </c>
      <c r="G9" s="8" t="s">
        <v>390</v>
      </c>
    </row>
    <row r="10" customFormat="false" ht="15" hidden="false" customHeight="true" outlineLevel="0" collapsed="false">
      <c r="A10" s="8" t="s">
        <v>388</v>
      </c>
      <c r="B10" s="8" t="s">
        <v>1738</v>
      </c>
      <c r="C10" s="9" t="n">
        <f aca="false">COUNTIF('Source Registry'!$U$2:$U$400,$A10)</f>
        <v>3</v>
      </c>
      <c r="D10" s="9" t="n">
        <f aca="false">COUNTIFS('Source Registry'!$U$2:$U$400,$A10,'Source Registry'!$V$2:$V$400,"Detection feed")</f>
        <v>3</v>
      </c>
      <c r="E10" s="9" t="n">
        <f aca="false">COUNTIFS('Source Registry'!$U$2:$U$400,$A10,'Source Registry'!$V$2:$V$400,"Context")+COUNTIFS('Source Registry'!$U$2:$U$400,$A10,'Source Registry'!$V$2:$V$400,"Context (synthesized)")</f>
        <v>0</v>
      </c>
      <c r="F10" s="8" t="s">
        <v>389</v>
      </c>
      <c r="G10" s="8" t="s">
        <v>390</v>
      </c>
    </row>
    <row r="11" customFormat="false" ht="15" hidden="false" customHeight="true" outlineLevel="0" collapsed="false">
      <c r="A11" s="8" t="s">
        <v>171</v>
      </c>
      <c r="B11" s="8" t="s">
        <v>1739</v>
      </c>
      <c r="C11" s="9" t="n">
        <f aca="false">COUNTIF('Source Registry'!$U$2:$U$400,$A11)</f>
        <v>6</v>
      </c>
      <c r="D11" s="9" t="n">
        <f aca="false">COUNTIFS('Source Registry'!$U$2:$U$400,$A11,'Source Registry'!$V$2:$V$400,"Detection feed")</f>
        <v>0</v>
      </c>
      <c r="E11" s="9" t="n">
        <f aca="false">COUNTIFS('Source Registry'!$U$2:$U$400,$A11,'Source Registry'!$V$2:$V$400,"Context")+COUNTIFS('Source Registry'!$U$2:$U$400,$A11,'Source Registry'!$V$2:$V$400,"Context (synthesized)")</f>
        <v>1</v>
      </c>
      <c r="F11" s="8" t="s">
        <v>172</v>
      </c>
      <c r="G11" s="8" t="s">
        <v>173</v>
      </c>
    </row>
    <row r="12" customFormat="false" ht="23.25" hidden="false" customHeight="true" outlineLevel="0" collapsed="false">
      <c r="A12" s="8" t="s">
        <v>584</v>
      </c>
      <c r="B12" s="8" t="s">
        <v>1740</v>
      </c>
      <c r="C12" s="9" t="n">
        <f aca="false">COUNTIF('Source Registry'!$U$2:$U$400,$A12)</f>
        <v>9</v>
      </c>
      <c r="D12" s="9" t="n">
        <f aca="false">COUNTIFS('Source Registry'!$U$2:$U$400,$A12,'Source Registry'!$V$2:$V$400,"Detection feed")</f>
        <v>0</v>
      </c>
      <c r="E12" s="9" t="n">
        <f aca="false">COUNTIFS('Source Registry'!$U$2:$U$400,$A12,'Source Registry'!$V$2:$V$400,"Context")+COUNTIFS('Source Registry'!$U$2:$U$400,$A12,'Source Registry'!$V$2:$V$400,"Context (synthesized)")</f>
        <v>2</v>
      </c>
      <c r="F12" s="8" t="s">
        <v>585</v>
      </c>
      <c r="G12" s="8" t="s">
        <v>586</v>
      </c>
    </row>
    <row r="13" customFormat="false" ht="23.25" hidden="false" customHeight="true" outlineLevel="0" collapsed="false">
      <c r="A13" s="8" t="s">
        <v>190</v>
      </c>
      <c r="B13" s="8" t="s">
        <v>1741</v>
      </c>
      <c r="C13" s="9" t="n">
        <f aca="false">COUNTIF('Source Registry'!$U$2:$U$400,$A13)</f>
        <v>6</v>
      </c>
      <c r="D13" s="9" t="n">
        <f aca="false">COUNTIFS('Source Registry'!$U$2:$U$400,$A13,'Source Registry'!$V$2:$V$400,"Detection feed")</f>
        <v>0</v>
      </c>
      <c r="E13" s="9" t="n">
        <f aca="false">COUNTIFS('Source Registry'!$U$2:$U$400,$A13,'Source Registry'!$V$2:$V$400,"Context")+COUNTIFS('Source Registry'!$U$2:$U$400,$A13,'Source Registry'!$V$2:$V$400,"Context (synthesized)")</f>
        <v>2</v>
      </c>
      <c r="F13" s="8" t="s">
        <v>191</v>
      </c>
      <c r="G13" s="8" t="s">
        <v>192</v>
      </c>
    </row>
    <row r="14" customFormat="false" ht="23.25" hidden="false" customHeight="true" outlineLevel="0" collapsed="false">
      <c r="A14" s="8" t="s">
        <v>1144</v>
      </c>
      <c r="B14" s="8" t="s">
        <v>1742</v>
      </c>
      <c r="C14" s="9" t="n">
        <f aca="false">COUNTIF('Source Registry'!$U$2:$U$400,$A14)</f>
        <v>1</v>
      </c>
      <c r="D14" s="9" t="n">
        <f aca="false">COUNTIFS('Source Registry'!$U$2:$U$400,$A14,'Source Registry'!$V$2:$V$400,"Detection feed")</f>
        <v>0</v>
      </c>
      <c r="E14" s="9" t="n">
        <f aca="false">COUNTIFS('Source Registry'!$U$2:$U$400,$A14,'Source Registry'!$V$2:$V$400,"Context")+COUNTIFS('Source Registry'!$U$2:$U$400,$A14,'Source Registry'!$V$2:$V$400,"Context (synthesized)")</f>
        <v>1</v>
      </c>
      <c r="F14" s="8" t="s">
        <v>1145</v>
      </c>
      <c r="G14" s="8" t="s">
        <v>1146</v>
      </c>
    </row>
    <row r="15" customFormat="false" ht="23.25" hidden="false" customHeight="true" outlineLevel="0" collapsed="false">
      <c r="A15" s="8" t="s">
        <v>1743</v>
      </c>
      <c r="B15" s="8" t="s">
        <v>1744</v>
      </c>
      <c r="C15" s="9" t="n">
        <f aca="false">COUNTIF('Source Registry'!$U$2:$U$400,$A15)</f>
        <v>0</v>
      </c>
      <c r="D15" s="9" t="n">
        <f aca="false">COUNTIFS('Source Registry'!$U$2:$U$400,$A15,'Source Registry'!$V$2:$V$400,"Detection feed")</f>
        <v>0</v>
      </c>
      <c r="E15" s="9" t="n">
        <f aca="false">COUNTIFS('Source Registry'!$U$2:$U$400,$A15,'Source Registry'!$V$2:$V$400,"Context")+COUNTIFS('Source Registry'!$U$2:$U$400,$A15,'Source Registry'!$V$2:$V$400,"Context (synthesized)")</f>
        <v>0</v>
      </c>
      <c r="F15" s="8" t="s">
        <v>1745</v>
      </c>
      <c r="G15" s="8" t="s">
        <v>1746</v>
      </c>
    </row>
    <row r="16" customFormat="false" ht="23.25" hidden="false" customHeight="true" outlineLevel="0" collapsed="false">
      <c r="A16" s="8" t="s">
        <v>78</v>
      </c>
      <c r="B16" s="8" t="s">
        <v>1747</v>
      </c>
      <c r="C16" s="9" t="n">
        <f aca="false">COUNTIF('Source Registry'!$U$2:$U$400,$A16)</f>
        <v>58</v>
      </c>
      <c r="D16" s="9" t="n">
        <f aca="false">COUNTIFS('Source Registry'!$U$2:$U$400,$A16,'Source Registry'!$V$2:$V$400,"Detection feed")</f>
        <v>0</v>
      </c>
      <c r="E16" s="9" t="n">
        <f aca="false">COUNTIFS('Source Registry'!$U$2:$U$400,$A16,'Source Registry'!$V$2:$V$400,"Context")+COUNTIFS('Source Registry'!$U$2:$U$400,$A16,'Source Registry'!$V$2:$V$400,"Context (synthesized)")</f>
        <v>27</v>
      </c>
      <c r="F16" s="8" t="s">
        <v>80</v>
      </c>
      <c r="G16" s="8" t="s">
        <v>81</v>
      </c>
    </row>
    <row r="19" customFormat="false" ht="17.25" hidden="false" customHeight="true" outlineLevel="0" collapsed="false">
      <c r="A19" s="2" t="s">
        <v>1748</v>
      </c>
    </row>
    <row r="20" customFormat="false" ht="15" hidden="false" customHeight="true" outlineLevel="0" collapsed="false">
      <c r="A20" s="25" t="s">
        <v>1749</v>
      </c>
      <c r="B20" s="25" t="s">
        <v>1311</v>
      </c>
    </row>
    <row r="21" customFormat="false" ht="15" hidden="false" customHeight="true" outlineLevel="0" collapsed="false">
      <c r="A21" s="13" t="s">
        <v>1750</v>
      </c>
      <c r="B21" s="14" t="n">
        <f aca="false">COUNTIF('Source Registry'!$W$2:$W$400,0)</f>
        <v>10</v>
      </c>
    </row>
    <row r="22" customFormat="false" ht="15" hidden="false" customHeight="true" outlineLevel="0" collapsed="false">
      <c r="A22" s="13" t="s">
        <v>1751</v>
      </c>
      <c r="B22" s="14" t="n">
        <f aca="false">COUNTIF('Source Registry'!$W$2:$W$400,1)</f>
        <v>47</v>
      </c>
    </row>
    <row r="23" customFormat="false" ht="15" hidden="false" customHeight="true" outlineLevel="0" collapsed="false">
      <c r="A23" s="13" t="s">
        <v>1752</v>
      </c>
      <c r="B23" s="14" t="n">
        <f aca="false">COUNTIF('Source Registry'!$W$2:$W$400,2)</f>
        <v>131</v>
      </c>
    </row>
    <row r="24" customFormat="false" ht="15" hidden="false" customHeight="true" outlineLevel="0" collapsed="false">
      <c r="A24" s="13" t="s">
        <v>1753</v>
      </c>
      <c r="B24" s="14" t="n">
        <f aca="false">COUNTIF('Source Registry'!$V$2:$V$400,"Detection feed")</f>
        <v>63</v>
      </c>
    </row>
    <row r="25" customFormat="false" ht="15" hidden="false" customHeight="true" outlineLevel="0" collapsed="false">
      <c r="A25" s="13" t="s">
        <v>1754</v>
      </c>
      <c r="B25" s="14" t="n">
        <f aca="false">COUNTIF('Source Registry'!$V$2:$V$400,"Context")</f>
        <v>47</v>
      </c>
    </row>
    <row r="26" customFormat="false" ht="15" hidden="false" customHeight="true" outlineLevel="0" collapsed="false">
      <c r="A26" s="13" t="s">
        <v>1755</v>
      </c>
      <c r="B26" s="14" t="n">
        <f aca="false">COUNTIF('Source Registry'!$V$2:$V$400,"Context (synthesized)")</f>
        <v>10</v>
      </c>
    </row>
    <row r="27" customFormat="false" ht="15" hidden="false" customHeight="true" outlineLevel="0" collapsed="false">
      <c r="A27" s="13" t="s">
        <v>1756</v>
      </c>
      <c r="B27" s="14" t="n">
        <f aca="false">COUNTIF('Source Registry'!$V$2:$V$400,"Fetch and verify")</f>
        <v>64</v>
      </c>
    </row>
    <row r="28" customFormat="false" ht="15" hidden="false" customHeight="true" outlineLevel="0" collapsed="false">
      <c r="A28" s="13" t="s">
        <v>1757</v>
      </c>
      <c r="B28" s="14" t="n">
        <f aca="false">COUNTIF('Source Registry'!$V$2:$V$400,"Lens prefill")</f>
        <v>4</v>
      </c>
    </row>
    <row r="30" customFormat="false" ht="15" hidden="false" customHeight="true" outlineLevel="0" collapsed="false">
      <c r="A30" s="12" t="s">
        <v>1758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3" min="2" style="1" width="48"/>
    <col collapsed="false" customWidth="true" hidden="false" outlineLevel="0" max="4" min="4" style="1" width="44"/>
    <col collapsed="false" customWidth="true" hidden="false" outlineLevel="0" max="5" min="5" style="1" width="54"/>
  </cols>
  <sheetData>
    <row r="1" customFormat="false" ht="17.25" hidden="false" customHeight="true" outlineLevel="0" collapsed="false">
      <c r="A1" s="2" t="s">
        <v>1759</v>
      </c>
    </row>
    <row r="2" customFormat="false" ht="15" hidden="false" customHeight="true" outlineLevel="0" collapsed="false">
      <c r="A2" s="12" t="s">
        <v>1760</v>
      </c>
    </row>
    <row r="4" customFormat="false" ht="30" hidden="false" customHeight="true" outlineLevel="0" collapsed="false">
      <c r="A4" s="7" t="s">
        <v>1330</v>
      </c>
      <c r="B4" s="7" t="s">
        <v>1761</v>
      </c>
      <c r="C4" s="7" t="s">
        <v>1762</v>
      </c>
      <c r="D4" s="7" t="s">
        <v>1763</v>
      </c>
      <c r="E4" s="7" t="s">
        <v>1764</v>
      </c>
    </row>
    <row r="5" customFormat="false" ht="23.25" hidden="false" customHeight="true" outlineLevel="0" collapsed="false">
      <c r="A5" s="8" t="s">
        <v>1765</v>
      </c>
      <c r="B5" s="8" t="s">
        <v>1766</v>
      </c>
      <c r="C5" s="8" t="s">
        <v>1767</v>
      </c>
      <c r="D5" s="8" t="s">
        <v>1768</v>
      </c>
      <c r="E5" s="8" t="s">
        <v>1769</v>
      </c>
    </row>
    <row r="6" customFormat="false" ht="23.25" hidden="false" customHeight="true" outlineLevel="0" collapsed="false">
      <c r="A6" s="8" t="s">
        <v>1770</v>
      </c>
      <c r="B6" s="8" t="s">
        <v>1771</v>
      </c>
      <c r="C6" s="8" t="s">
        <v>1772</v>
      </c>
      <c r="D6" s="8" t="s">
        <v>1773</v>
      </c>
      <c r="E6" s="8" t="s">
        <v>1774</v>
      </c>
    </row>
    <row r="7" customFormat="false" ht="23.25" hidden="false" customHeight="true" outlineLevel="0" collapsed="false">
      <c r="A7" s="8" t="s">
        <v>1775</v>
      </c>
      <c r="B7" s="8" t="s">
        <v>1776</v>
      </c>
      <c r="C7" s="8" t="s">
        <v>1777</v>
      </c>
      <c r="D7" s="8" t="s">
        <v>1778</v>
      </c>
      <c r="E7" s="8" t="s">
        <v>1779</v>
      </c>
    </row>
    <row r="8" customFormat="false" ht="15" hidden="false" customHeight="true" outlineLevel="0" collapsed="false">
      <c r="A8" s="8" t="s">
        <v>1780</v>
      </c>
      <c r="B8" s="8" t="s">
        <v>1781</v>
      </c>
      <c r="C8" s="8" t="s">
        <v>1782</v>
      </c>
      <c r="D8" s="8" t="s">
        <v>1783</v>
      </c>
      <c r="E8" s="8" t="s">
        <v>1784</v>
      </c>
    </row>
    <row r="9" customFormat="false" ht="23.25" hidden="false" customHeight="true" outlineLevel="0" collapsed="false">
      <c r="A9" s="8" t="s">
        <v>1785</v>
      </c>
      <c r="B9" s="8" t="s">
        <v>1786</v>
      </c>
      <c r="C9" s="8" t="s">
        <v>1787</v>
      </c>
      <c r="D9" s="8" t="s">
        <v>1788</v>
      </c>
      <c r="E9" s="8" t="s">
        <v>1789</v>
      </c>
    </row>
    <row r="10" customFormat="false" ht="15" hidden="false" customHeight="true" outlineLevel="0" collapsed="false">
      <c r="A10" s="8" t="s">
        <v>1790</v>
      </c>
      <c r="B10" s="8" t="s">
        <v>1791</v>
      </c>
      <c r="C10" s="8" t="s">
        <v>1792</v>
      </c>
      <c r="D10" s="8" t="s">
        <v>1793</v>
      </c>
      <c r="E10" s="8" t="s">
        <v>1794</v>
      </c>
    </row>
    <row r="11" customFormat="false" ht="15" hidden="false" customHeight="true" outlineLevel="0" collapsed="false">
      <c r="A11" s="8" t="s">
        <v>1345</v>
      </c>
      <c r="B11" s="8" t="s">
        <v>1795</v>
      </c>
      <c r="C11" s="8" t="s">
        <v>1796</v>
      </c>
      <c r="D11" s="8" t="s">
        <v>1797</v>
      </c>
      <c r="E11" s="8" t="s">
        <v>1798</v>
      </c>
    </row>
    <row r="12" customFormat="false" ht="15" hidden="false" customHeight="true" outlineLevel="0" collapsed="false">
      <c r="A12" s="8" t="s">
        <v>141</v>
      </c>
      <c r="B12" s="8" t="s">
        <v>1799</v>
      </c>
      <c r="C12" s="8" t="s">
        <v>1800</v>
      </c>
      <c r="D12" s="8" t="s">
        <v>1801</v>
      </c>
      <c r="E12" s="8" t="s">
        <v>1802</v>
      </c>
    </row>
    <row r="13" customFormat="false" ht="23.25" hidden="false" customHeight="true" outlineLevel="0" collapsed="false">
      <c r="A13" s="8" t="s">
        <v>1803</v>
      </c>
      <c r="B13" s="8" t="s">
        <v>1804</v>
      </c>
      <c r="C13" s="8" t="s">
        <v>1805</v>
      </c>
      <c r="D13" s="8" t="s">
        <v>1806</v>
      </c>
      <c r="E13" s="8" t="s">
        <v>1807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2026-10-19T21:22:32Z</dcterms:created>
  <dc:creator>openpyxl</dc:creator>
  <dc:description/>
  <dc:language>en-US</dc:language>
  <cp:lastModifiedBy/>
  <dcterms:modified xsi:type="dcterms:W3CDTF">2026-10-20T20:56:02Z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